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examples\"/>
    </mc:Choice>
  </mc:AlternateContent>
  <bookViews>
    <workbookView xWindow="0" yWindow="0" windowWidth="14700" windowHeight="6075" tabRatio="765"/>
  </bookViews>
  <sheets>
    <sheet name="主頁面" sheetId="6" r:id="rId1"/>
    <sheet name="交易簡化版" sheetId="14" r:id="rId2"/>
    <sheet name="暫存區" sheetId="1" r:id="rId3"/>
    <sheet name="工作表2" sheetId="10" state="hidden" r:id="rId4"/>
  </sheets>
  <functionGroups builtInGroupCount="18"/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7" i="6" l="1"/>
  <c r="Z15" i="6"/>
  <c r="Z12" i="6"/>
  <c r="Z7" i="6"/>
  <c r="Z3" i="6"/>
</calcChain>
</file>

<file path=xl/sharedStrings.xml><?xml version="1.0" encoding="utf-8"?>
<sst xmlns="http://schemas.openxmlformats.org/spreadsheetml/2006/main" count="465" uniqueCount="139">
  <si>
    <t>客戶：</t>
  </si>
  <si>
    <t>帳號：</t>
  </si>
  <si>
    <t>交易日期</t>
  </si>
  <si>
    <t>交易時間</t>
  </si>
  <si>
    <t>餘額</t>
  </si>
  <si>
    <t>轉出入帳號</t>
  </si>
  <si>
    <t>交易摘要</t>
  </si>
  <si>
    <t>Out</t>
  </si>
  <si>
    <t>In</t>
  </si>
  <si>
    <t>03跨行轉帳</t>
  </si>
  <si>
    <t>04本行轉帳</t>
  </si>
  <si>
    <t>01現金交易</t>
  </si>
  <si>
    <t>ＡＴＭ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</si>
  <si>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</si>
  <si>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</si>
  <si>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</si>
  <si>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</si>
  <si>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</si>
  <si>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</si>
  <si>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</si>
  <si>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</si>
  <si>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</si>
  <si>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</si>
  <si>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</si>
  <si>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</si>
  <si>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</si>
  <si>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</si>
  <si>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</si>
  <si>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</si>
  <si>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</si>
  <si>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</si>
  <si>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</si>
  <si>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</si>
  <si>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</si>
  <si>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</si>
  <si>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</si>
  <si>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</si>
  <si>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</si>
  <si>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</si>
  <si>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</si>
  <si>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</si>
  <si>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</si>
  <si>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票號/備註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</si>
  <si>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</si>
  <si>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</si>
  <si>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</si>
  <si>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</si>
  <si>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在觀察區間內，無發現總出入帳金額差距異常</t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</si>
  <si>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</si>
  <si>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</si>
  <si>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</si>
  <si>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在當日臨櫃提領現金交易數據中，沒有發現異常</t>
  </si>
  <si>
    <t>在當日臨櫃提領現金交易數據中，沒有發現不同地點提領</t>
  </si>
  <si>
    <t>將工具七的原始資料貼過來,然後按"開始分析"按鈕</t>
    <phoneticPr fontId="1" type="noConversion"/>
  </si>
  <si>
    <t>2023/9</t>
  </si>
  <si>
    <t>2023/10</t>
  </si>
  <si>
    <t>Ｖ扣款</t>
  </si>
  <si>
    <t>ＮＥＴＦＬＩＸ</t>
  </si>
  <si>
    <t>扣帳</t>
  </si>
  <si>
    <t>國外交易手續費</t>
  </si>
  <si>
    <t>餐費</t>
  </si>
  <si>
    <t>其他交易</t>
  </si>
  <si>
    <t>在觀察期間交易數據    中，無發現跨行交易筆數高案例</t>
  </si>
  <si>
    <t>永吉(台北市)</t>
  </si>
  <si>
    <t>8220H813215</t>
  </si>
  <si>
    <t>8220K514561</t>
  </si>
  <si>
    <t>8220K965310</t>
  </si>
  <si>
    <t>電信費用語音轉</t>
  </si>
  <si>
    <t>8220G077665</t>
  </si>
  <si>
    <t>8220G658270</t>
  </si>
  <si>
    <t>8220P166089</t>
  </si>
  <si>
    <t>香</t>
  </si>
  <si>
    <t>8220U038431</t>
  </si>
  <si>
    <t>8220G735691</t>
  </si>
  <si>
    <t>8220H454518</t>
  </si>
  <si>
    <t>8220L002569</t>
  </si>
  <si>
    <t>8220T338801</t>
  </si>
  <si>
    <t>8220T447349</t>
  </si>
  <si>
    <t>0</t>
  </si>
  <si>
    <t>2023/11</t>
  </si>
  <si>
    <t>2023/12</t>
  </si>
  <si>
    <t>在觀察區間內，無發現出入帳金額差距甚小案例</t>
  </si>
  <si>
    <t>009;808;807</t>
  </si>
  <si>
    <t>在觀察區間發生了 1 次單日多個 ATM 存現案例</t>
  </si>
  <si>
    <t>在觀察區間發生了 1 次快進快出案例</t>
  </si>
  <si>
    <t>在觀察區間 91 天中，有 35 天每日存款餘額少於1000元。</t>
  </si>
  <si>
    <t>Ｐｉ－７－ＥＬ</t>
  </si>
  <si>
    <t>連加＊Ｃｏｕｐ</t>
  </si>
  <si>
    <t>統一超商－ＯＰ</t>
  </si>
  <si>
    <t>連加＊南海茶道</t>
  </si>
  <si>
    <t>Ｐｉ－萊爾富便</t>
  </si>
  <si>
    <t>臺灣鐵路管理局</t>
  </si>
  <si>
    <t>Ｈ＆Ｍ台中大魯</t>
  </si>
  <si>
    <t>優步福爾摩沙股</t>
  </si>
  <si>
    <t>Ｐｉ－台灣中油</t>
  </si>
  <si>
    <t>連加＊ＬＯＵＩ</t>
  </si>
  <si>
    <t>慕誠有限公司</t>
  </si>
  <si>
    <t>０３－０９１０</t>
  </si>
  <si>
    <t>寶雅生活館台中</t>
  </si>
  <si>
    <t>ＮＥＴ太平二店</t>
  </si>
  <si>
    <t>連加＊八曜和茶</t>
  </si>
  <si>
    <t>連加＊統一超商</t>
  </si>
  <si>
    <t>ｔｉｘＣｒａｆ</t>
  </si>
  <si>
    <t>優食－一沐日</t>
  </si>
  <si>
    <t>優食－麥當勞</t>
  </si>
  <si>
    <t>家樂福－太平店</t>
  </si>
  <si>
    <t>連加＊勁吧</t>
  </si>
  <si>
    <t>連加＊萊爾富</t>
  </si>
  <si>
    <t>台灣麥當勞ＳＯ</t>
  </si>
  <si>
    <t>連加＊大茗本位</t>
  </si>
  <si>
    <t>優食－多樂米糕</t>
  </si>
  <si>
    <t>全家便利商店股</t>
  </si>
  <si>
    <t>全家便利店ＬＩ</t>
  </si>
  <si>
    <t>連加＊台灣中油</t>
  </si>
  <si>
    <t>優食－吸粉堂過</t>
  </si>
  <si>
    <t>演唱會門票</t>
  </si>
  <si>
    <t>徐佳瑩演唱會</t>
  </si>
  <si>
    <t>000005654**3736*</t>
  </si>
  <si>
    <t>林宥嘉演唱會</t>
  </si>
  <si>
    <t>000090156**5795*</t>
  </si>
  <si>
    <t>中信轉台新</t>
  </si>
  <si>
    <t>住宿費</t>
  </si>
  <si>
    <t>湊整數</t>
  </si>
  <si>
    <t>000090156**5494*</t>
  </si>
  <si>
    <t>借還</t>
  </si>
  <si>
    <t>基金</t>
  </si>
  <si>
    <t>飯錢</t>
  </si>
  <si>
    <t>000016054**0257*</t>
  </si>
  <si>
    <t>五月天門票錢</t>
  </si>
  <si>
    <t>十二段晚餐費</t>
  </si>
  <si>
    <t>襪子＋福袋</t>
  </si>
  <si>
    <t>晨光早午餐</t>
  </si>
  <si>
    <t>甲山林湯旅</t>
  </si>
  <si>
    <t>在分月交易數據中，沒有發現異常的月總筆數增幅</t>
  </si>
  <si>
    <t>在分月交易數據中，沒有發現異常的月總金額增幅</t>
  </si>
  <si>
    <t>在觀察期間交易數據中，無發現一元轉帳</t>
  </si>
  <si>
    <t>在分月交易數據中，發現在2023/10 有異常的月總金額增幅</t>
  </si>
  <si>
    <t>在觀察期間交易數據中，有 4 日發現小於百元轉帳</t>
  </si>
  <si>
    <t>分析完成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</si>
</sst>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00000000000000"/>
  </numFmts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b/>
      <u/>
      <sz val="16"/>
      <color theme="0"/>
      <name val="Microsoft JhengHei UI"/>
      <family val="2"/>
      <charset val="136"/>
    </font>
    <font>
      <u/>
      <sz val="16"/>
      <color theme="1"/>
      <name val="Microsoft JhengHei UI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0"/>
      <name val="Arial"/>
      <family val="2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新細明體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6F7C4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11" fillId="0" borderId="0"/>
    <xf numFmtId="0" fontId="14" fillId="0" borderId="0"/>
  </cellStyleXfs>
  <cellXfs count="86">
    <xf numFmtId="0" fontId="0" fillId="0" borderId="0" xfId="0">
      <alignment vertical="center"/>
    </xf>
    <xf numFmtId="0" fontId="2" fillId="0" borderId="2" xfId="0" applyFont="1" applyBorder="1" applyAlignment="1">
      <alignment horizontal="left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left" vertical="center" wrapText="1" readingOrder="1"/>
    </xf>
    <xf numFmtId="0" fontId="0" fillId="3" borderId="0" xfId="0" applyFill="1">
      <alignment vertical="center"/>
    </xf>
    <xf numFmtId="0" fontId="4" fillId="4" borderId="0" xfId="0" applyFont="1" applyFill="1" applyBorder="1" applyProtection="1">
      <alignment vertical="center"/>
    </xf>
    <xf numFmtId="0" fontId="4" fillId="5" borderId="0" xfId="0" applyFont="1" applyFill="1" applyBorder="1" applyProtection="1">
      <alignment vertical="center"/>
    </xf>
    <xf numFmtId="0" fontId="4" fillId="3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2" fillId="6" borderId="1" xfId="0" applyFont="1" applyFill="1" applyBorder="1" applyAlignment="1">
      <alignment horizontal="left" vertical="center" wrapText="1" readingOrder="1"/>
    </xf>
    <xf numFmtId="0" fontId="2" fillId="6" borderId="1" xfId="0" applyFont="1" applyFill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left" vertical="center" wrapText="1" readingOrder="1"/>
    </xf>
    <xf numFmtId="0" fontId="3" fillId="3" borderId="1" xfId="0" applyFont="1" applyFill="1" applyBorder="1" applyAlignment="1">
      <alignment vertical="center" wrapText="1"/>
    </xf>
    <xf numFmtId="0" fontId="2" fillId="0" borderId="7" xfId="0" applyFont="1" applyBorder="1" applyAlignment="1">
      <alignment horizontal="left" vertical="center" wrapText="1" readingOrder="1"/>
    </xf>
    <xf numFmtId="0" fontId="2" fillId="0" borderId="8" xfId="0" applyFont="1" applyBorder="1" applyAlignment="1">
      <alignment horizontal="left"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2" fillId="0" borderId="11" xfId="0" applyFont="1" applyBorder="1" applyAlignment="1">
      <alignment horizontal="center" vertical="center" wrapText="1" readingOrder="1"/>
    </xf>
    <xf numFmtId="0" fontId="2" fillId="0" borderId="12" xfId="0" applyFont="1" applyBorder="1" applyAlignment="1">
      <alignment horizontal="center" vertical="center" wrapText="1" readingOrder="1"/>
    </xf>
    <xf numFmtId="0" fontId="8" fillId="3" borderId="0" xfId="0" applyFont="1" applyFill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9" fillId="3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0" fontId="9" fillId="3" borderId="1" xfId="0" applyFont="1" applyFill="1" applyBorder="1" applyAlignment="1">
      <alignment vertical="top" wrapText="1"/>
    </xf>
    <xf numFmtId="0" fontId="9" fillId="5" borderId="0" xfId="0" applyFont="1" applyFill="1" applyBorder="1" applyProtection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>
      <alignment vertical="center"/>
    </xf>
    <xf numFmtId="0" fontId="0" fillId="8" borderId="0" xfId="0" applyFill="1">
      <alignment vertical="center"/>
    </xf>
    <xf numFmtId="0" fontId="0" fillId="3" borderId="0" xfId="0" applyFill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8" fillId="0" borderId="0" xfId="0" applyFont="1">
      <alignment vertical="center"/>
    </xf>
    <xf numFmtId="0" fontId="2" fillId="7" borderId="8" xfId="0" applyFont="1" applyFill="1" applyBorder="1" applyAlignment="1">
      <alignment horizontal="left" vertical="center" wrapText="1" readingOrder="1"/>
    </xf>
    <xf numFmtId="0" fontId="2" fillId="7" borderId="2" xfId="0" applyFont="1" applyFill="1" applyBorder="1" applyAlignment="1">
      <alignment horizontal="left" vertical="center" wrapText="1" readingOrder="1"/>
    </xf>
    <xf numFmtId="0" fontId="2" fillId="7" borderId="9" xfId="0" applyFont="1" applyFill="1" applyBorder="1" applyAlignment="1">
      <alignment horizontal="left" vertical="center" wrapText="1" readingOrder="1"/>
    </xf>
    <xf numFmtId="0" fontId="13" fillId="3" borderId="0" xfId="0" applyFont="1" applyFill="1" applyAlignment="1">
      <alignment horizontal="center" vertical="center"/>
    </xf>
    <xf numFmtId="49" fontId="0" fillId="8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0" borderId="0" xfId="0" applyNumberFormat="1">
      <alignment vertical="center"/>
    </xf>
    <xf numFmtId="176" fontId="8" fillId="0" borderId="0" xfId="0" applyNumberFormat="1" applyFont="1">
      <alignment vertical="center"/>
    </xf>
    <xf numFmtId="0" fontId="0" fillId="8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8" fillId="0" borderId="0" xfId="0" applyNumberFormat="1" applyFont="1" applyAlignment="1">
      <alignment horizontal="left" vertical="center"/>
    </xf>
    <xf numFmtId="14" fontId="0" fillId="9" borderId="0" xfId="0" applyNumberFormat="1" applyFill="1" applyAlignment="1">
      <alignment horizontal="left" vertical="center"/>
    </xf>
    <xf numFmtId="0" fontId="0" fillId="9" borderId="0" xfId="0" applyFill="1">
      <alignment vertical="center"/>
    </xf>
    <xf numFmtId="176" fontId="0" fillId="9" borderId="0" xfId="0" applyNumberFormat="1" applyFill="1">
      <alignment vertical="center"/>
    </xf>
    <xf numFmtId="14" fontId="8" fillId="9" borderId="0" xfId="0" applyNumberFormat="1" applyFont="1" applyFill="1" applyAlignment="1">
      <alignment horizontal="left" vertical="center"/>
    </xf>
    <xf numFmtId="0" fontId="8" fillId="9" borderId="0" xfId="0" applyFont="1" applyFill="1">
      <alignment vertical="center"/>
    </xf>
    <xf numFmtId="176" fontId="8" fillId="9" borderId="0" xfId="0" applyNumberFormat="1" applyFont="1" applyFill="1">
      <alignment vertical="center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21" fontId="0" fillId="8" borderId="0" xfId="0" applyNumberFormat="1" applyFill="1">
      <alignment vertical="center"/>
    </xf>
    <xf numFmtId="21" fontId="0" fillId="0" borderId="0" xfId="0" applyNumberFormat="1">
      <alignment vertical="center"/>
    </xf>
    <xf numFmtId="21" fontId="0" fillId="8" borderId="0" xfId="0" applyNumberFormat="1" applyFill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1" fontId="0" fillId="9" borderId="0" xfId="0" applyNumberFormat="1" applyFill="1" applyAlignment="1">
      <alignment horizontal="center" vertical="center"/>
    </xf>
    <xf numFmtId="21" fontId="0" fillId="9" borderId="0" xfId="0" applyNumberFormat="1" applyFill="1">
      <alignment vertical="center"/>
    </xf>
    <xf numFmtId="21" fontId="8" fillId="0" borderId="0" xfId="0" applyNumberFormat="1" applyFont="1">
      <alignment vertical="center"/>
    </xf>
    <xf numFmtId="21" fontId="8" fillId="0" borderId="0" xfId="0" applyNumberFormat="1" applyFont="1" applyAlignment="1">
      <alignment horizontal="center" vertical="center"/>
    </xf>
    <xf numFmtId="21" fontId="8" fillId="9" borderId="0" xfId="0" applyNumberFormat="1" applyFont="1" applyFill="1">
      <alignment vertical="center"/>
    </xf>
    <xf numFmtId="21" fontId="8" fillId="9" borderId="0" xfId="0" applyNumberFormat="1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2" fillId="6" borderId="1" xfId="0" applyFont="1" applyFill="1" applyBorder="1" applyAlignment="1">
      <alignment horizontal="center" vertical="center" wrapText="1" readingOrder="1"/>
    </xf>
    <xf numFmtId="0" fontId="2" fillId="0" borderId="12" xfId="0" applyFont="1" applyBorder="1" applyAlignment="1">
      <alignment horizontal="center" vertical="center" wrapText="1" readingOrder="1"/>
    </xf>
    <xf numFmtId="0" fontId="2" fillId="0" borderId="13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left" vertical="center" wrapText="1" readingOrder="1"/>
    </xf>
    <xf numFmtId="0" fontId="2" fillId="0" borderId="5" xfId="0" applyFont="1" applyBorder="1" applyAlignment="1">
      <alignment horizontal="left" vertical="center" wrapText="1" readingOrder="1"/>
    </xf>
    <xf numFmtId="0" fontId="2" fillId="0" borderId="8" xfId="0" applyFont="1" applyBorder="1" applyAlignment="1">
      <alignment horizontal="left" vertical="center" wrapText="1" readingOrder="1"/>
    </xf>
    <xf numFmtId="0" fontId="2" fillId="0" borderId="9" xfId="0" applyFont="1" applyBorder="1" applyAlignment="1">
      <alignment horizontal="left" vertical="center" wrapText="1" readingOrder="1"/>
    </xf>
    <xf numFmtId="0" fontId="12" fillId="3" borderId="23" xfId="0" applyFont="1" applyFill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6" xfId="0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left" vertical="center" wrapText="1" readingOrder="1"/>
    </xf>
    <xf numFmtId="0" fontId="2" fillId="0" borderId="10" xfId="0" applyFont="1" applyBorder="1" applyAlignment="1">
      <alignment horizontal="left" vertical="center" wrapText="1" readingOrder="1"/>
    </xf>
  </cellXfs>
  <cellStyles count="4">
    <cellStyle name="一般" xfId="0" builtinId="0"/>
    <cellStyle name="一般 2" xfId="2"/>
    <cellStyle name="一般 3" xfId="1"/>
    <cellStyle name="一般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暫存區!$A$4:$D$4</c:f>
              <c:strCache>
                <c:ptCount val="4"/>
                <c:pt idx="0">
                  <c:v>2023/9</c:v>
                </c:pt>
                <c:pt idx="1">
                  <c:v>2023/10</c:v>
                </c:pt>
                <c:pt idx="2">
                  <c:v>2023/11</c:v>
                </c:pt>
                <c:pt idx="3">
                  <c:v>2023/12</c:v>
                </c:pt>
              </c:strCache>
            </c:strRef>
          </c:cat>
          <c:val>
            <c:numRef>
              <c:f>暫存區!$A$5:$D$5</c:f>
              <c:numCache>
                <c:formatCode>General</c:formatCode>
                <c:ptCount val="4"/>
                <c:pt idx="0">
                  <c:v>39</c:v>
                </c:pt>
                <c:pt idx="1">
                  <c:v>57</c:v>
                </c:pt>
                <c:pt idx="2">
                  <c:v>39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52-4D48-B2AD-B86C6BBD1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74448"/>
        <c:axId val="56977360"/>
      </c:barChart>
      <c:catAx>
        <c:axId val="5697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977360"/>
        <c:crosses val="autoZero"/>
        <c:auto val="1"/>
        <c:lblAlgn val="ctr"/>
        <c:lblOffset val="100"/>
        <c:noMultiLvlLbl val="0"/>
      </c:catAx>
      <c:valAx>
        <c:axId val="56977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974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暫存區!$A$7:$D$7</c:f>
              <c:strCache>
                <c:ptCount val="4"/>
                <c:pt idx="0">
                  <c:v>2023/9</c:v>
                </c:pt>
                <c:pt idx="1">
                  <c:v>2023/10</c:v>
                </c:pt>
                <c:pt idx="2">
                  <c:v>2023/11</c:v>
                </c:pt>
                <c:pt idx="3">
                  <c:v>2023/12</c:v>
                </c:pt>
              </c:strCache>
            </c:strRef>
          </c:cat>
          <c:val>
            <c:numRef>
              <c:f>暫存區!$A$8:$D$8</c:f>
              <c:numCache>
                <c:formatCode>General</c:formatCode>
                <c:ptCount val="4"/>
                <c:pt idx="0">
                  <c:v>17665</c:v>
                </c:pt>
                <c:pt idx="1">
                  <c:v>124189</c:v>
                </c:pt>
                <c:pt idx="2">
                  <c:v>42425</c:v>
                </c:pt>
                <c:pt idx="3">
                  <c:v>42997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1-4BAF-A911-F8A83FDFC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78608"/>
        <c:axId val="56977776"/>
      </c:barChart>
      <c:catAx>
        <c:axId val="5697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977776"/>
        <c:crosses val="autoZero"/>
        <c:auto val="1"/>
        <c:lblAlgn val="ctr"/>
        <c:lblOffset val="100"/>
        <c:noMultiLvlLbl val="0"/>
      </c:catAx>
      <c:valAx>
        <c:axId val="56977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978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暫存區!$A$30:$D$30</c:f>
              <c:numCache>
                <c:formatCode>m/d/yyyy</c:formatCode>
                <c:ptCount val="4"/>
                <c:pt idx="0">
                  <c:v>45188</c:v>
                </c:pt>
                <c:pt idx="1">
                  <c:v>45202</c:v>
                </c:pt>
                <c:pt idx="2">
                  <c:v>45217</c:v>
                </c:pt>
                <c:pt idx="3">
                  <c:v>45228</c:v>
                </c:pt>
              </c:numCache>
            </c:numRef>
          </c:cat>
          <c:val>
            <c:numRef>
              <c:f>暫存區!$A$31:$D$31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2343-4B58-B13E-6D586438B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3935072"/>
        <c:axId val="1983933408"/>
      </c:barChart>
      <c:dateAx>
        <c:axId val="198393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3933408"/>
        <c:crosses val="autoZero"/>
        <c:auto val="1"/>
        <c:lblOffset val="100"/>
        <c:baseTimeUnit val="days"/>
      </c:dateAx>
      <c:valAx>
        <c:axId val="198393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393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暫存區!$A$30:$D$30</c:f>
              <c:numCache>
                <c:formatCode>m/d/yyyy</c:formatCode>
                <c:ptCount val="4"/>
                <c:pt idx="0">
                  <c:v>45188</c:v>
                </c:pt>
                <c:pt idx="1">
                  <c:v>45202</c:v>
                </c:pt>
                <c:pt idx="2">
                  <c:v>45217</c:v>
                </c:pt>
                <c:pt idx="3">
                  <c:v>45228</c:v>
                </c:pt>
              </c:numCache>
            </c:numRef>
          </c:cat>
          <c:val>
            <c:numRef>
              <c:f>暫存區!$A$32:$D$32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3D-4B5D-8C6A-43DFA0D22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3931744"/>
        <c:axId val="1983934656"/>
      </c:barChart>
      <c:dateAx>
        <c:axId val="1983931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3934656"/>
        <c:crosses val="autoZero"/>
        <c:auto val="1"/>
        <c:lblOffset val="100"/>
        <c:baseTimeUnit val="days"/>
      </c:dateAx>
      <c:valAx>
        <c:axId val="1983934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3931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暫存區!$A$30:$D$30</c:f>
              <c:numCache>
                <c:formatCode>m/d/yyyy</c:formatCode>
                <c:ptCount val="4"/>
                <c:pt idx="0">
                  <c:v>45188</c:v>
                </c:pt>
                <c:pt idx="1">
                  <c:v>45202</c:v>
                </c:pt>
                <c:pt idx="2">
                  <c:v>45217</c:v>
                </c:pt>
                <c:pt idx="3">
                  <c:v>45228</c:v>
                </c:pt>
              </c:numCache>
            </c:numRef>
          </c:cat>
          <c:val>
            <c:numRef>
              <c:f>暫存區!$A$33:$D$33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0BF5-49C3-9D7F-82ECF3DC9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4003168"/>
        <c:axId val="1984003584"/>
      </c:barChart>
      <c:dateAx>
        <c:axId val="198400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4003584"/>
        <c:crosses val="autoZero"/>
        <c:auto val="1"/>
        <c:lblOffset val="100"/>
        <c:baseTimeUnit val="days"/>
      </c:dateAx>
      <c:valAx>
        <c:axId val="1984003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4003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81DA-4307-BD21-1CFF97E61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4006080"/>
        <c:axId val="1984007744"/>
      </c:barChart>
      <c:catAx>
        <c:axId val="198400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84007744"/>
        <c:crosses val="autoZero"/>
        <c:auto val="1"/>
        <c:lblAlgn val="ctr"/>
        <c:lblOffset val="100"/>
        <c:noMultiLvlLbl val="0"/>
      </c:catAx>
      <c:valAx>
        <c:axId val="1984007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84006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暫存區!$A$36:$BA$36</c:f>
              <c:numCache>
                <c:formatCode>m/d/yyyy</c:formatCode>
                <c:ptCount val="53"/>
                <c:pt idx="0">
                  <c:v>45187</c:v>
                </c:pt>
                <c:pt idx="1">
                  <c:v>45188</c:v>
                </c:pt>
                <c:pt idx="2">
                  <c:v>45189</c:v>
                </c:pt>
                <c:pt idx="3">
                  <c:v>45190</c:v>
                </c:pt>
                <c:pt idx="4">
                  <c:v>45191</c:v>
                </c:pt>
                <c:pt idx="5">
                  <c:v>45192</c:v>
                </c:pt>
                <c:pt idx="6">
                  <c:v>45193</c:v>
                </c:pt>
                <c:pt idx="7">
                  <c:v>45194</c:v>
                </c:pt>
                <c:pt idx="8">
                  <c:v>45195</c:v>
                </c:pt>
                <c:pt idx="9">
                  <c:v>45196</c:v>
                </c:pt>
                <c:pt idx="10">
                  <c:v>45197</c:v>
                </c:pt>
                <c:pt idx="11">
                  <c:v>45199</c:v>
                </c:pt>
                <c:pt idx="12">
                  <c:v>45200</c:v>
                </c:pt>
                <c:pt idx="13">
                  <c:v>45201</c:v>
                </c:pt>
                <c:pt idx="14">
                  <c:v>45202</c:v>
                </c:pt>
                <c:pt idx="15">
                  <c:v>45204</c:v>
                </c:pt>
                <c:pt idx="16">
                  <c:v>45205</c:v>
                </c:pt>
                <c:pt idx="17">
                  <c:v>45206</c:v>
                </c:pt>
                <c:pt idx="18">
                  <c:v>45212</c:v>
                </c:pt>
                <c:pt idx="19">
                  <c:v>45216</c:v>
                </c:pt>
                <c:pt idx="20">
                  <c:v>45217</c:v>
                </c:pt>
                <c:pt idx="21">
                  <c:v>45218</c:v>
                </c:pt>
                <c:pt idx="22">
                  <c:v>45220</c:v>
                </c:pt>
                <c:pt idx="23">
                  <c:v>45223</c:v>
                </c:pt>
                <c:pt idx="24">
                  <c:v>45224</c:v>
                </c:pt>
                <c:pt idx="25">
                  <c:v>45225</c:v>
                </c:pt>
                <c:pt idx="26">
                  <c:v>45227</c:v>
                </c:pt>
                <c:pt idx="27">
                  <c:v>45228</c:v>
                </c:pt>
                <c:pt idx="28">
                  <c:v>45232</c:v>
                </c:pt>
                <c:pt idx="29">
                  <c:v>45233</c:v>
                </c:pt>
                <c:pt idx="30">
                  <c:v>45234</c:v>
                </c:pt>
                <c:pt idx="31">
                  <c:v>45236</c:v>
                </c:pt>
                <c:pt idx="32">
                  <c:v>45238</c:v>
                </c:pt>
                <c:pt idx="33">
                  <c:v>45239</c:v>
                </c:pt>
                <c:pt idx="34">
                  <c:v>45244</c:v>
                </c:pt>
                <c:pt idx="35">
                  <c:v>45245</c:v>
                </c:pt>
                <c:pt idx="36">
                  <c:v>45246</c:v>
                </c:pt>
                <c:pt idx="37">
                  <c:v>45248</c:v>
                </c:pt>
                <c:pt idx="38">
                  <c:v>45250</c:v>
                </c:pt>
                <c:pt idx="39">
                  <c:v>45251</c:v>
                </c:pt>
                <c:pt idx="40">
                  <c:v>45258</c:v>
                </c:pt>
                <c:pt idx="41">
                  <c:v>45259</c:v>
                </c:pt>
                <c:pt idx="42">
                  <c:v>45260</c:v>
                </c:pt>
                <c:pt idx="43">
                  <c:v>45265</c:v>
                </c:pt>
                <c:pt idx="44">
                  <c:v>45267</c:v>
                </c:pt>
                <c:pt idx="45">
                  <c:v>45268</c:v>
                </c:pt>
                <c:pt idx="46">
                  <c:v>45269</c:v>
                </c:pt>
                <c:pt idx="47">
                  <c:v>45272</c:v>
                </c:pt>
                <c:pt idx="48">
                  <c:v>45273</c:v>
                </c:pt>
                <c:pt idx="49">
                  <c:v>45274</c:v>
                </c:pt>
                <c:pt idx="50">
                  <c:v>45275</c:v>
                </c:pt>
                <c:pt idx="51">
                  <c:v>45276</c:v>
                </c:pt>
                <c:pt idx="52">
                  <c:v>45277</c:v>
                </c:pt>
              </c:numCache>
            </c:numRef>
          </c:cat>
          <c:val>
            <c:numRef>
              <c:f>暫存區!$A$39:$BA$39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294.66666666666669</c:v>
                </c:pt>
                <c:pt idx="3">
                  <c:v>0</c:v>
                </c:pt>
                <c:pt idx="4">
                  <c:v>0.7622321428571428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0.99391666666666667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0.32119999999999999</c:v>
                </c:pt>
                <c:pt idx="14">
                  <c:v>0</c:v>
                </c:pt>
                <c:pt idx="15">
                  <c:v>0.90538116591928253</c:v>
                </c:pt>
                <c:pt idx="16">
                  <c:v>0.5776470588235294</c:v>
                </c:pt>
                <c:pt idx="17">
                  <c:v>0</c:v>
                </c:pt>
                <c:pt idx="18">
                  <c:v>0.46927753934191702</c:v>
                </c:pt>
                <c:pt idx="19">
                  <c:v>0.79591836734693877</c:v>
                </c:pt>
                <c:pt idx="20">
                  <c:v>0.57383680555555561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0.62121212121212122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0.99539999999999995</c:v>
                </c:pt>
                <c:pt idx="35">
                  <c:v>0.39084507042253519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0.5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0.53987730061349692</c:v>
                </c:pt>
                <c:pt idx="44">
                  <c:v>1</c:v>
                </c:pt>
                <c:pt idx="45">
                  <c:v>0.5</c:v>
                </c:pt>
                <c:pt idx="46">
                  <c:v>0</c:v>
                </c:pt>
                <c:pt idx="47">
                  <c:v>0.75357142857142856</c:v>
                </c:pt>
                <c:pt idx="48">
                  <c:v>0</c:v>
                </c:pt>
                <c:pt idx="49">
                  <c:v>0</c:v>
                </c:pt>
                <c:pt idx="50">
                  <c:v>0.62413363251059584</c:v>
                </c:pt>
                <c:pt idx="51">
                  <c:v>0.52173913043478259</c:v>
                </c:pt>
                <c:pt idx="52">
                  <c:v>0.49494949494949497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D0-48E9-BFD6-FA16C6AB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937248"/>
        <c:axId val="2061933088"/>
      </c:barChart>
      <c:dateAx>
        <c:axId val="2061937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61933088"/>
        <c:crosses val="autoZero"/>
        <c:auto val="1"/>
        <c:lblOffset val="100"/>
        <c:baseTimeUnit val="days"/>
      </c:dateAx>
      <c:valAx>
        <c:axId val="206193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1937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暫存區!$A$19:$B$19</c:f>
              <c:numCache>
                <c:formatCode>General</c:formatCode>
                <c:ptCount val="2"/>
                <c:pt idx="0">
                  <c:v>0</c:v>
                </c:pt>
                <c:pt idx="1">
                  <c:v>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A-46D1-BC77-D40BBC5AC936}"/>
            </c:ext>
          </c:extLst>
        </c:ser>
        <c:ser>
          <c:idx val="1"/>
          <c:order val="1"/>
          <c:invertIfNegative val="0"/>
          <c:val>
            <c:numRef>
              <c:f>暫存區!$A$20:$B$20</c:f>
              <c:numCache>
                <c:formatCode>General</c:formatCode>
                <c:ptCount val="2"/>
                <c:pt idx="0">
                  <c:v>75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AA-46D1-BC77-D40BBC5A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3937152"/>
        <c:axId val="1983937568"/>
      </c:barChart>
      <c:catAx>
        <c:axId val="1983937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83937568"/>
        <c:crosses val="autoZero"/>
        <c:auto val="1"/>
        <c:lblAlgn val="ctr"/>
        <c:lblOffset val="100"/>
        <c:noMultiLvlLbl val="0"/>
      </c:catAx>
      <c:valAx>
        <c:axId val="1983937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83937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2023/12/15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29-4374-9817-36EC2262F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5751616"/>
        <c:axId val="56979440"/>
      </c:barChart>
      <c:catAx>
        <c:axId val="169575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56979440"/>
        <c:crosses val="autoZero"/>
        <c:auto val="1"/>
        <c:lblAlgn val="ctr"/>
        <c:lblOffset val="100"/>
        <c:noMultiLvlLbl val="0"/>
      </c:catAx>
      <c:valAx>
        <c:axId val="56979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5751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E8F-410B-802D-7571B6744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738096"/>
        <c:axId val="2067738928"/>
      </c:barChart>
      <c:catAx>
        <c:axId val="206773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738928"/>
        <c:crosses val="autoZero"/>
        <c:auto val="1"/>
        <c:lblAlgn val="ctr"/>
        <c:lblOffset val="100"/>
        <c:noMultiLvlLbl val="0"/>
      </c:catAx>
      <c:valAx>
        <c:axId val="206773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7738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暫存區!$A$27:$AM$27</c:f>
              <c:numCache>
                <c:formatCode>m/d/yyyy</c:formatCode>
                <c:ptCount val="39"/>
                <c:pt idx="0">
                  <c:v>45187</c:v>
                </c:pt>
                <c:pt idx="1">
                  <c:v>45188</c:v>
                </c:pt>
                <c:pt idx="2">
                  <c:v>45189</c:v>
                </c:pt>
                <c:pt idx="3">
                  <c:v>45190</c:v>
                </c:pt>
                <c:pt idx="4">
                  <c:v>45191</c:v>
                </c:pt>
                <c:pt idx="5">
                  <c:v>45192</c:v>
                </c:pt>
                <c:pt idx="6">
                  <c:v>45193</c:v>
                </c:pt>
                <c:pt idx="7">
                  <c:v>45196</c:v>
                </c:pt>
                <c:pt idx="8">
                  <c:v>45199</c:v>
                </c:pt>
                <c:pt idx="9">
                  <c:v>45200</c:v>
                </c:pt>
                <c:pt idx="10">
                  <c:v>45201</c:v>
                </c:pt>
                <c:pt idx="11">
                  <c:v>45202</c:v>
                </c:pt>
                <c:pt idx="12">
                  <c:v>45204</c:v>
                </c:pt>
                <c:pt idx="13">
                  <c:v>45205</c:v>
                </c:pt>
                <c:pt idx="14">
                  <c:v>45206</c:v>
                </c:pt>
                <c:pt idx="15">
                  <c:v>45212</c:v>
                </c:pt>
                <c:pt idx="16">
                  <c:v>45216</c:v>
                </c:pt>
                <c:pt idx="17">
                  <c:v>45217</c:v>
                </c:pt>
                <c:pt idx="18">
                  <c:v>45218</c:v>
                </c:pt>
                <c:pt idx="19">
                  <c:v>45220</c:v>
                </c:pt>
                <c:pt idx="20">
                  <c:v>45227</c:v>
                </c:pt>
                <c:pt idx="21">
                  <c:v>45228</c:v>
                </c:pt>
                <c:pt idx="22">
                  <c:v>45234</c:v>
                </c:pt>
                <c:pt idx="23">
                  <c:v>45238</c:v>
                </c:pt>
                <c:pt idx="24">
                  <c:v>45244</c:v>
                </c:pt>
                <c:pt idx="25">
                  <c:v>45245</c:v>
                </c:pt>
                <c:pt idx="26">
                  <c:v>45246</c:v>
                </c:pt>
                <c:pt idx="27">
                  <c:v>45248</c:v>
                </c:pt>
                <c:pt idx="28">
                  <c:v>45250</c:v>
                </c:pt>
                <c:pt idx="29">
                  <c:v>45251</c:v>
                </c:pt>
                <c:pt idx="30">
                  <c:v>45258</c:v>
                </c:pt>
                <c:pt idx="31">
                  <c:v>45265</c:v>
                </c:pt>
                <c:pt idx="32">
                  <c:v>45267</c:v>
                </c:pt>
                <c:pt idx="33">
                  <c:v>45268</c:v>
                </c:pt>
                <c:pt idx="34">
                  <c:v>45269</c:v>
                </c:pt>
                <c:pt idx="35">
                  <c:v>45272</c:v>
                </c:pt>
                <c:pt idx="36">
                  <c:v>45275</c:v>
                </c:pt>
                <c:pt idx="37">
                  <c:v>45276</c:v>
                </c:pt>
                <c:pt idx="38">
                  <c:v>45277</c:v>
                </c:pt>
              </c:numCache>
            </c:numRef>
          </c:cat>
          <c:val>
            <c:numRef>
              <c:f>暫存區!$A$28:$AM$28</c:f>
              <c:numCache>
                <c:formatCode>General</c:formatCode>
                <c:ptCount val="39"/>
                <c:pt idx="0">
                  <c:v>10640</c:v>
                </c:pt>
                <c:pt idx="1">
                  <c:v>9620</c:v>
                </c:pt>
                <c:pt idx="2">
                  <c:v>8736</c:v>
                </c:pt>
                <c:pt idx="3">
                  <c:v>8736</c:v>
                </c:pt>
                <c:pt idx="4">
                  <c:v>7673</c:v>
                </c:pt>
                <c:pt idx="5">
                  <c:v>10673</c:v>
                </c:pt>
                <c:pt idx="6">
                  <c:v>6173</c:v>
                </c:pt>
                <c:pt idx="7">
                  <c:v>12159</c:v>
                </c:pt>
                <c:pt idx="8">
                  <c:v>10758</c:v>
                </c:pt>
                <c:pt idx="9">
                  <c:v>9758</c:v>
                </c:pt>
                <c:pt idx="10">
                  <c:v>5818</c:v>
                </c:pt>
                <c:pt idx="11">
                  <c:v>1460</c:v>
                </c:pt>
                <c:pt idx="12">
                  <c:v>9536</c:v>
                </c:pt>
                <c:pt idx="13">
                  <c:v>19356</c:v>
                </c:pt>
                <c:pt idx="14">
                  <c:v>3126</c:v>
                </c:pt>
                <c:pt idx="15">
                  <c:v>2088</c:v>
                </c:pt>
                <c:pt idx="16">
                  <c:v>9888</c:v>
                </c:pt>
                <c:pt idx="17">
                  <c:v>4526</c:v>
                </c:pt>
                <c:pt idx="18">
                  <c:v>2450</c:v>
                </c:pt>
                <c:pt idx="19">
                  <c:v>644</c:v>
                </c:pt>
                <c:pt idx="20">
                  <c:v>407</c:v>
                </c:pt>
                <c:pt idx="21">
                  <c:v>372</c:v>
                </c:pt>
                <c:pt idx="22">
                  <c:v>3438</c:v>
                </c:pt>
                <c:pt idx="23">
                  <c:v>655</c:v>
                </c:pt>
                <c:pt idx="24">
                  <c:v>20304</c:v>
                </c:pt>
                <c:pt idx="25">
                  <c:v>6744</c:v>
                </c:pt>
                <c:pt idx="26">
                  <c:v>6344</c:v>
                </c:pt>
                <c:pt idx="27">
                  <c:v>1325</c:v>
                </c:pt>
                <c:pt idx="28">
                  <c:v>1326</c:v>
                </c:pt>
                <c:pt idx="29">
                  <c:v>1326</c:v>
                </c:pt>
                <c:pt idx="30">
                  <c:v>610</c:v>
                </c:pt>
                <c:pt idx="31">
                  <c:v>721</c:v>
                </c:pt>
                <c:pt idx="32">
                  <c:v>1421</c:v>
                </c:pt>
                <c:pt idx="33">
                  <c:v>2421</c:v>
                </c:pt>
                <c:pt idx="34">
                  <c:v>421</c:v>
                </c:pt>
                <c:pt idx="35">
                  <c:v>776</c:v>
                </c:pt>
                <c:pt idx="36">
                  <c:v>434</c:v>
                </c:pt>
                <c:pt idx="37">
                  <c:v>1234</c:v>
                </c:pt>
                <c:pt idx="38">
                  <c:v>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EC-4006-BDC7-F19FE67D0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739760"/>
        <c:axId val="2067728944"/>
      </c:barChart>
      <c:dateAx>
        <c:axId val="2067739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67728944"/>
        <c:crosses val="autoZero"/>
        <c:auto val="1"/>
        <c:lblOffset val="100"/>
        <c:baseTimeUnit val="days"/>
      </c:dateAx>
      <c:valAx>
        <c:axId val="2067728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39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10" Type="http://schemas.openxmlformats.org/officeDocument/2006/relationships/image" Target="../media/image1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76200</xdr:rowOff>
        </xdr:from>
        <xdr:to>
          <xdr:col>4</xdr:col>
          <xdr:colOff>1933575</xdr:colOff>
          <xdr:row>1</xdr:row>
          <xdr:rowOff>1228725</xdr:rowOff>
        </xdr:to>
        <xdr:sp macro="" textlink="">
          <xdr:nvSpPr>
            <xdr:cNvPr id="1025" name="Analyz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123824</xdr:colOff>
          <xdr:row>0</xdr:row>
          <xdr:rowOff>58737</xdr:rowOff>
        </xdr:from>
        <xdr:to>
          <xdr:col>20</xdr:col>
          <xdr:colOff>661459</xdr:colOff>
          <xdr:row>7</xdr:row>
          <xdr:rowOff>6350</xdr:rowOff>
        </xdr:to>
        <xdr:grpSp>
          <xdr:nvGrpSpPr>
            <xdr:cNvPr id="3" name="群組 2"/>
            <xdr:cNvGrpSpPr/>
          </xdr:nvGrpSpPr>
          <xdr:grpSpPr>
            <a:xfrm>
              <a:off x="1155699" y="58737"/>
              <a:ext cx="13491635" cy="1392238"/>
              <a:chOff x="1155699" y="58737"/>
              <a:chExt cx="12877801" cy="1392238"/>
            </a:xfrm>
          </xdr:grpSpPr>
          <xdr:grpSp>
            <xdr:nvGrpSpPr>
              <xdr:cNvPr id="2" name="群組 1"/>
              <xdr:cNvGrpSpPr/>
            </xdr:nvGrpSpPr>
            <xdr:grpSpPr>
              <a:xfrm>
                <a:off x="1155699" y="267229"/>
                <a:ext cx="12842349" cy="1183746"/>
                <a:chOff x="1171574" y="269875"/>
                <a:chExt cx="12752391" cy="1196975"/>
              </a:xfrm>
            </xdr:grpSpPr>
            <xdr:sp macro="" textlink="">
              <xdr:nvSpPr>
                <xdr:cNvPr id="3076" name="TextBox_SeeWhy" hidden="1">
                  <a:extLst>
                    <a:ext uri="{63B3BB69-23CF-44E3-9099-C40C66FF867C}">
                      <a14:compatExt spid="_x0000_s3076"/>
                    </a:ext>
                  </a:extLst>
                </xdr:cNvPr>
                <xdr:cNvSpPr/>
              </xdr:nvSpPr>
              <xdr:spPr bwMode="auto">
                <a:xfrm>
                  <a:off x="1171574" y="277813"/>
                  <a:ext cx="2522540" cy="118586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8" name="TextBox2" hidden="1">
                  <a:extLst>
                    <a:ext uri="{63B3BB69-23CF-44E3-9099-C40C66FF867C}">
                      <a14:compatExt spid="_x0000_s3078"/>
                    </a:ext>
                  </a:extLst>
                </xdr:cNvPr>
                <xdr:cNvSpPr/>
              </xdr:nvSpPr>
              <xdr:spPr bwMode="auto">
                <a:xfrm>
                  <a:off x="6286501" y="269876"/>
                  <a:ext cx="2522537" cy="11922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9" name="TextBox1" hidden="1">
                  <a:extLst>
                    <a:ext uri="{63B3BB69-23CF-44E3-9099-C40C66FF867C}">
                      <a14:compatExt spid="_x0000_s3079"/>
                    </a:ext>
                  </a:extLst>
                </xdr:cNvPr>
                <xdr:cNvSpPr/>
              </xdr:nvSpPr>
              <xdr:spPr bwMode="auto">
                <a:xfrm>
                  <a:off x="3735388" y="280988"/>
                  <a:ext cx="2517775" cy="118586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0" name="TextBox3" hidden="1">
                  <a:extLst>
                    <a:ext uri="{63B3BB69-23CF-44E3-9099-C40C66FF867C}">
                      <a14:compatExt spid="_x0000_s3080"/>
                    </a:ext>
                  </a:extLst>
                </xdr:cNvPr>
                <xdr:cNvSpPr/>
              </xdr:nvSpPr>
              <xdr:spPr bwMode="auto">
                <a:xfrm>
                  <a:off x="8839200" y="269875"/>
                  <a:ext cx="2520950" cy="118586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1" name="TextBox4" hidden="1">
                  <a:extLst>
                    <a:ext uri="{63B3BB69-23CF-44E3-9099-C40C66FF867C}">
                      <a14:compatExt spid="_x0000_s3081"/>
                    </a:ext>
                  </a:extLst>
                </xdr:cNvPr>
                <xdr:cNvSpPr/>
              </xdr:nvSpPr>
              <xdr:spPr bwMode="auto">
                <a:xfrm>
                  <a:off x="11403013" y="273050"/>
                  <a:ext cx="2520952" cy="11795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3082" name="Label1" hidden="1">
                <a:extLst>
                  <a:ext uri="{63B3BB69-23CF-44E3-9099-C40C66FF867C}">
                    <a14:compatExt spid="_x0000_s3082"/>
                  </a:ext>
                </a:extLst>
              </xdr:cNvPr>
              <xdr:cNvSpPr/>
            </xdr:nvSpPr>
            <xdr:spPr bwMode="auto">
              <a:xfrm>
                <a:off x="1206501" y="58739"/>
                <a:ext cx="2492374" cy="16880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3" name="Label2" hidden="1">
                <a:extLst>
                  <a:ext uri="{63B3BB69-23CF-44E3-9099-C40C66FF867C}">
                    <a14:compatExt spid="_x0000_s3083"/>
                  </a:ext>
                </a:extLst>
              </xdr:cNvPr>
              <xdr:cNvSpPr/>
            </xdr:nvSpPr>
            <xdr:spPr bwMode="auto">
              <a:xfrm>
                <a:off x="3859212" y="58738"/>
                <a:ext cx="2500843" cy="17356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4" name="Label3" hidden="1">
                <a:extLst>
                  <a:ext uri="{63B3BB69-23CF-44E3-9099-C40C66FF867C}">
                    <a14:compatExt spid="_x0000_s3084"/>
                  </a:ext>
                </a:extLst>
              </xdr:cNvPr>
              <xdr:cNvSpPr/>
            </xdr:nvSpPr>
            <xdr:spPr bwMode="auto">
              <a:xfrm>
                <a:off x="6288617" y="58737"/>
                <a:ext cx="2505603" cy="17356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5" name="Label4" hidden="1">
                <a:extLst>
                  <a:ext uri="{63B3BB69-23CF-44E3-9099-C40C66FF867C}">
                    <a14:compatExt spid="_x0000_s3085"/>
                  </a:ext>
                </a:extLst>
              </xdr:cNvPr>
              <xdr:cNvSpPr/>
            </xdr:nvSpPr>
            <xdr:spPr bwMode="auto">
              <a:xfrm>
                <a:off x="8891058" y="66675"/>
                <a:ext cx="2509309" cy="17356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6" name="Label5" hidden="1">
                <a:extLst>
                  <a:ext uri="{63B3BB69-23CF-44E3-9099-C40C66FF867C}">
                    <a14:compatExt spid="_x0000_s3086"/>
                  </a:ext>
                </a:extLst>
              </xdr:cNvPr>
              <xdr:cNvSpPr/>
            </xdr:nvSpPr>
            <xdr:spPr bwMode="auto">
              <a:xfrm>
                <a:off x="11523133" y="59267"/>
                <a:ext cx="2510367" cy="177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0"/>
  <sheetViews>
    <sheetView tabSelected="1" zoomScale="40" zoomScaleNormal="40" workbookViewId="0">
      <selection activeCell="AK5" sqref="AK5"/>
    </sheetView>
  </sheetViews>
  <sheetFormatPr defaultColWidth="8.75" defaultRowHeight="18.75" x14ac:dyDescent="0.25"/>
  <cols>
    <col min="1" max="1" width="12.5" style="4" customWidth="1"/>
    <col min="2" max="2" width="8.75" style="4"/>
    <col min="3" max="3" width="17.125" style="4" customWidth="1"/>
    <col min="4" max="4" width="18.625" style="4" customWidth="1"/>
    <col min="5" max="5" width="31.25" style="4" customWidth="1"/>
    <col min="6" max="6" width="42.625" style="32" customWidth="1"/>
    <col min="7" max="25" width="8.75" style="4"/>
    <col min="26" max="26" width="9.5" style="35" bestFit="1" customWidth="1"/>
    <col min="27" max="16384" width="8.75" style="4"/>
  </cols>
  <sheetData>
    <row r="1" spans="1:28" s="8" customFormat="1" ht="63.6" customHeight="1" x14ac:dyDescent="0.25">
      <c r="A1" s="5"/>
      <c r="B1" s="5"/>
      <c r="C1" s="5"/>
      <c r="D1" s="5"/>
      <c r="E1" s="5"/>
      <c r="F1" s="31"/>
      <c r="G1" s="68" t="s">
        <v>50</v>
      </c>
      <c r="H1" s="69"/>
      <c r="I1" s="69"/>
      <c r="J1" s="69"/>
      <c r="K1" s="69"/>
      <c r="L1" s="69"/>
      <c r="M1" s="69"/>
      <c r="N1" s="69"/>
      <c r="O1" s="6"/>
      <c r="P1" s="6"/>
      <c r="Q1" s="6"/>
      <c r="R1" s="6"/>
      <c r="S1" s="6"/>
      <c r="T1" s="6"/>
      <c r="U1" s="70"/>
      <c r="V1" s="71"/>
      <c r="W1" s="6"/>
      <c r="X1" s="6"/>
      <c r="Y1" s="6"/>
      <c r="Z1" s="36"/>
      <c r="AA1" s="7"/>
      <c r="AB1" s="7"/>
    </row>
    <row r="2" spans="1:28" ht="116.45" customHeight="1" x14ac:dyDescent="0.25">
      <c r="B2" s="79" t="s">
        <v>53</v>
      </c>
      <c r="C2" s="80"/>
      <c r="D2" s="80"/>
      <c r="F2" s="41" t="s">
        <v>138</v>
      </c>
    </row>
    <row r="3" spans="1:28" ht="99.95" customHeight="1" x14ac:dyDescent="0.25">
      <c r="A3" s="72" t="s">
        <v>14</v>
      </c>
      <c r="B3" s="10">
        <v>1</v>
      </c>
      <c r="C3" s="9" t="s">
        <v>15</v>
      </c>
      <c r="D3" s="9" t="s">
        <v>16</v>
      </c>
      <c r="E3" s="9" t="s">
        <v>39</v>
      </c>
      <c r="F3" s="12" t="s">
        <v>133</v>
      </c>
      <c r="Z3" s="35" t="str">
        <f>CHAR(42)&amp;C3&amp;":"&amp;CHAR(10)&amp;F3&amp;CHAR(10)&amp;CHAR(42)&amp;C4&amp;":"&amp;CHAR(10)&amp;F4&amp;CHAR(10)&amp;CHAR(42)&amp;C5&amp;":"&amp;CHAR(10)&amp;F5</f>
        <v>*分月交易總筆數:
在分月交易數據中，沒有發現異常的月總筆數增幅
*分月交易總金額:
在分月交易數據中，發現在2023/10 有異常的月總金額增幅
*分月交易總金額:
在分月交易數據中，沒有發現異常的月總金額增幅</v>
      </c>
      <c r="AA3" s="35"/>
    </row>
    <row r="4" spans="1:28" ht="99.95" customHeight="1" x14ac:dyDescent="0.25">
      <c r="A4" s="72"/>
      <c r="B4" s="10">
        <v>2</v>
      </c>
      <c r="C4" s="9" t="s">
        <v>17</v>
      </c>
      <c r="D4" s="9" t="s">
        <v>18</v>
      </c>
      <c r="E4" s="9" t="s">
        <v>38</v>
      </c>
      <c r="F4" s="12" t="s">
        <v>136</v>
      </c>
    </row>
    <row r="5" spans="1:28" ht="99.95" customHeight="1" x14ac:dyDescent="0.25">
      <c r="A5" s="72"/>
      <c r="B5" s="10">
        <v>3</v>
      </c>
      <c r="C5" s="9" t="s">
        <v>17</v>
      </c>
      <c r="D5" s="9" t="s">
        <v>18</v>
      </c>
      <c r="E5" s="9" t="s">
        <v>19</v>
      </c>
      <c r="F5" s="12" t="s">
        <v>134</v>
      </c>
    </row>
    <row r="6" spans="1:28" ht="47.1" customHeight="1" x14ac:dyDescent="0.25"/>
    <row r="7" spans="1:28" ht="99.95" customHeight="1" x14ac:dyDescent="0.25">
      <c r="A7" s="81"/>
      <c r="B7" s="16">
        <v>4</v>
      </c>
      <c r="C7" s="1" t="s">
        <v>20</v>
      </c>
      <c r="D7" s="1" t="s">
        <v>21</v>
      </c>
      <c r="E7" s="13" t="s">
        <v>41</v>
      </c>
      <c r="F7" s="28" t="s">
        <v>51</v>
      </c>
      <c r="H7" s="18"/>
      <c r="I7" s="18"/>
      <c r="J7" s="18"/>
      <c r="K7" s="18"/>
      <c r="L7" s="18"/>
      <c r="M7" s="18"/>
      <c r="Z7" s="35" t="str">
        <f>C7&amp;CHAR(10)&amp;CHAR(42)&amp;D7&amp;":"&amp;CHAR(10)&amp;F7&amp;CHAR(10)&amp;CHAR(42)&amp;D8&amp;":"&amp;CHAR(10)&amp;F5</f>
        <v>當日現金提領_臨櫃
*每筆金額都約當小於50萬規避洗錢防制:
在當日臨櫃提領現金交易數據中，沒有發現異常
*交易選擇不同地點分行交易規避洗錢防制:
在分月交易數據中，沒有發現異常的月總金額增幅</v>
      </c>
    </row>
    <row r="8" spans="1:28" ht="263.45" customHeight="1" x14ac:dyDescent="0.25">
      <c r="A8" s="82"/>
      <c r="B8" s="16">
        <v>5</v>
      </c>
      <c r="C8" s="1" t="s">
        <v>20</v>
      </c>
      <c r="D8" s="1" t="s">
        <v>22</v>
      </c>
      <c r="E8" s="38" t="s">
        <v>40</v>
      </c>
      <c r="F8" s="30" t="s">
        <v>52</v>
      </c>
      <c r="H8" s="18"/>
      <c r="I8" s="18"/>
      <c r="J8" s="18"/>
      <c r="K8" s="18"/>
      <c r="L8" s="18"/>
      <c r="M8" s="18"/>
    </row>
    <row r="9" spans="1:28" ht="99.95" hidden="1" customHeight="1" x14ac:dyDescent="0.25">
      <c r="A9" s="82"/>
      <c r="B9" s="73">
        <v>6</v>
      </c>
      <c r="C9" s="75" t="s">
        <v>23</v>
      </c>
      <c r="D9" s="77" t="s">
        <v>24</v>
      </c>
      <c r="E9" s="15"/>
      <c r="F9" s="33"/>
    </row>
    <row r="10" spans="1:28" ht="267.60000000000002" customHeight="1" x14ac:dyDescent="0.25">
      <c r="A10" s="82"/>
      <c r="B10" s="74"/>
      <c r="C10" s="76"/>
      <c r="D10" s="78"/>
      <c r="E10" s="15" t="s">
        <v>49</v>
      </c>
      <c r="F10" s="28" t="s">
        <v>84</v>
      </c>
    </row>
    <row r="11" spans="1:28" ht="12" customHeight="1" x14ac:dyDescent="0.25">
      <c r="A11" s="82"/>
      <c r="B11" s="73">
        <v>7</v>
      </c>
      <c r="C11" s="75" t="s">
        <v>23</v>
      </c>
      <c r="D11" s="77" t="s">
        <v>48</v>
      </c>
      <c r="E11" s="15"/>
      <c r="F11" s="33"/>
    </row>
    <row r="12" spans="1:28" ht="99.95" customHeight="1" x14ac:dyDescent="0.25">
      <c r="A12" s="82"/>
      <c r="B12" s="83"/>
      <c r="C12" s="84"/>
      <c r="D12" s="85"/>
      <c r="E12" s="15" t="s">
        <v>25</v>
      </c>
      <c r="F12" s="28" t="s">
        <v>47</v>
      </c>
      <c r="Z12" s="35" t="str">
        <f>C11&amp;CHAR(10)&amp;CHAR(42)&amp;E12&amp;":"&amp;CHAR(10)&amp;F12&amp;CHAR(10)&amp;CHAR(42)&amp;E13&amp;CHAR(10)&amp;F13</f>
        <v>當日現金提領/存入_ATM
*【觀察期間總金額進-總金額出】:
在觀察區間內，無發現總出入帳金額差距異常
*【每天總金額進-總金額出】
在觀察區間內，無發現出入帳金額差距甚小案例</v>
      </c>
    </row>
    <row r="13" spans="1:28" ht="99.95" customHeight="1" x14ac:dyDescent="0.25">
      <c r="A13" s="82"/>
      <c r="B13" s="74"/>
      <c r="C13" s="76"/>
      <c r="D13" s="78"/>
      <c r="E13" s="15" t="s">
        <v>26</v>
      </c>
      <c r="F13" s="28" t="s">
        <v>81</v>
      </c>
    </row>
    <row r="14" spans="1:28" ht="99.95" customHeight="1" x14ac:dyDescent="0.25">
      <c r="A14" s="82"/>
      <c r="B14" s="2">
        <v>8</v>
      </c>
      <c r="C14" s="3" t="s">
        <v>23</v>
      </c>
      <c r="D14" s="3" t="s">
        <v>36</v>
      </c>
      <c r="E14" s="3" t="s">
        <v>37</v>
      </c>
      <c r="F14" s="33"/>
    </row>
    <row r="15" spans="1:28" ht="197.1" customHeight="1" x14ac:dyDescent="0.25">
      <c r="A15" s="82"/>
      <c r="B15" s="16">
        <v>9</v>
      </c>
      <c r="C15" s="39" t="s">
        <v>23</v>
      </c>
      <c r="D15" s="39" t="s">
        <v>44</v>
      </c>
      <c r="E15" s="40" t="s">
        <v>45</v>
      </c>
      <c r="F15" s="28" t="s">
        <v>83</v>
      </c>
      <c r="Z15" s="35" t="str">
        <f>C15&amp;CHAR(10)&amp;CHAR(42)&amp;F15&amp;":"&amp;CHAR(10)&amp;CHAR(42)&amp;F16</f>
        <v>當日現金提領/存入_ATM
*在觀察區間發生了 1 次單日多個 ATM 存現案例:
*</v>
      </c>
    </row>
    <row r="16" spans="1:28" ht="99.95" customHeight="1" x14ac:dyDescent="0.25">
      <c r="A16" s="82"/>
      <c r="B16" s="17">
        <v>10</v>
      </c>
      <c r="C16" s="11" t="s">
        <v>23</v>
      </c>
      <c r="D16" s="11" t="s">
        <v>43</v>
      </c>
      <c r="E16" s="14" t="s">
        <v>27</v>
      </c>
      <c r="F16" s="28"/>
    </row>
    <row r="17" spans="1:26" ht="290.10000000000002" customHeight="1" x14ac:dyDescent="0.25">
      <c r="A17" s="82"/>
      <c r="B17" s="16">
        <v>11</v>
      </c>
      <c r="C17" s="1" t="s">
        <v>28</v>
      </c>
      <c r="D17" s="1" t="s">
        <v>29</v>
      </c>
      <c r="E17" s="13" t="s">
        <v>30</v>
      </c>
      <c r="F17" s="28" t="s">
        <v>85</v>
      </c>
      <c r="Z17" s="35" t="str">
        <f>"帳戶異常"&amp;CHAR(10)&amp;CHAR(42)&amp;C17&amp;":"&amp;CHAR(10)&amp;F17&amp;CHAR(10)&amp;CHAR(42)&amp;F18&amp;CHAR(10)&amp;CHAR(42)&amp;F19</f>
        <v>帳戶異常
*當日存款餘額:
在觀察區間 91 天中，有 35 天每日存款餘額少於1000元。
*在觀察期間交易數據中，無發現一元轉帳
*在觀察期間交易數據中，有 4 日發現小於百元轉帳</v>
      </c>
    </row>
    <row r="18" spans="1:26" ht="153" customHeight="1" x14ac:dyDescent="0.25">
      <c r="A18" s="82"/>
      <c r="B18" s="16">
        <v>12</v>
      </c>
      <c r="C18" s="75" t="s">
        <v>31</v>
      </c>
      <c r="D18" s="75" t="s">
        <v>32</v>
      </c>
      <c r="E18" s="13" t="s">
        <v>33</v>
      </c>
      <c r="F18" s="28" t="s">
        <v>135</v>
      </c>
    </row>
    <row r="19" spans="1:26" ht="143.44999999999999" customHeight="1" x14ac:dyDescent="0.25">
      <c r="A19" s="82"/>
      <c r="B19" s="16">
        <v>13</v>
      </c>
      <c r="C19" s="76"/>
      <c r="D19" s="76"/>
      <c r="E19" s="13" t="s">
        <v>34</v>
      </c>
      <c r="F19" s="28" t="s">
        <v>137</v>
      </c>
    </row>
    <row r="20" spans="1:26" ht="282.60000000000002" customHeight="1" x14ac:dyDescent="0.25">
      <c r="A20" s="82"/>
      <c r="B20" s="16">
        <v>14</v>
      </c>
      <c r="C20" s="1" t="s">
        <v>31</v>
      </c>
      <c r="D20" s="1" t="s">
        <v>35</v>
      </c>
      <c r="E20" s="13" t="s">
        <v>46</v>
      </c>
      <c r="F20" s="28" t="s">
        <v>62</v>
      </c>
    </row>
  </sheetData>
  <protectedRanges>
    <protectedRange sqref="U1" name="範圍2"/>
  </protectedRanges>
  <dataConsolidate/>
  <mergeCells count="13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  <mergeCell ref="B2:D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nalyze">
          <controlPr defaultSize="0" autoLine="0" autoPict="0" r:id="rId5">
            <anchor moveWithCells="1">
              <from>
                <xdr:col>4</xdr:col>
                <xdr:colOff>95250</xdr:colOff>
                <xdr:row>1</xdr:row>
                <xdr:rowOff>76200</xdr:rowOff>
              </from>
              <to>
                <xdr:col>4</xdr:col>
                <xdr:colOff>1933575</xdr:colOff>
                <xdr:row>1</xdr:row>
                <xdr:rowOff>1228725</xdr:rowOff>
              </to>
            </anchor>
          </controlPr>
        </control>
      </mc:Choice>
      <mc:Fallback>
        <control shapeId="1025" r:id="rId4" name="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173"/>
  <sheetViews>
    <sheetView zoomScale="60" zoomScaleNormal="60" workbookViewId="0">
      <pane xSplit="6" ySplit="8" topLeftCell="G47" activePane="bottomRight" state="frozenSplit"/>
      <selection pane="topRight" activeCell="G1" sqref="G1"/>
      <selection pane="bottomLeft" activeCell="A9" sqref="A9"/>
      <selection pane="bottomRight" activeCell="M69" sqref="M69"/>
    </sheetView>
  </sheetViews>
  <sheetFormatPr defaultRowHeight="16.5" x14ac:dyDescent="0.25"/>
  <cols>
    <col min="1" max="6" width="2.625" customWidth="1"/>
    <col min="7" max="7" width="12.25" style="47" bestFit="1" customWidth="1"/>
    <col min="8" max="8" width="13" style="59" bestFit="1" customWidth="1"/>
    <col min="9" max="9" width="14.25" style="61" bestFit="1" customWidth="1"/>
    <col min="10" max="11" width="7.625" bestFit="1" customWidth="1"/>
    <col min="12" max="12" width="18" bestFit="1" customWidth="1"/>
    <col min="13" max="13" width="20.5" style="44" bestFit="1" customWidth="1"/>
    <col min="14" max="14" width="20.5" bestFit="1" customWidth="1"/>
  </cols>
  <sheetData>
    <row r="1" spans="1:26" s="34" customFormat="1" x14ac:dyDescent="0.25">
      <c r="G1" s="46"/>
      <c r="H1" s="58"/>
      <c r="I1" s="60"/>
      <c r="M1" s="43"/>
    </row>
    <row r="2" spans="1:26" s="34" customFormat="1" x14ac:dyDescent="0.25">
      <c r="A2" s="34" t="s">
        <v>0</v>
      </c>
      <c r="G2" s="46"/>
      <c r="H2" s="58"/>
      <c r="I2" s="60"/>
      <c r="M2" s="43"/>
    </row>
    <row r="3" spans="1:26" s="34" customFormat="1" x14ac:dyDescent="0.25">
      <c r="G3" s="46"/>
      <c r="H3" s="58"/>
      <c r="I3" s="60"/>
      <c r="M3" s="43"/>
    </row>
    <row r="4" spans="1:26" s="34" customFormat="1" x14ac:dyDescent="0.25">
      <c r="G4" s="46"/>
      <c r="H4" s="58"/>
      <c r="I4" s="60"/>
      <c r="M4" s="43"/>
    </row>
    <row r="5" spans="1:26" s="34" customFormat="1" x14ac:dyDescent="0.25">
      <c r="A5" s="34" t="s">
        <v>1</v>
      </c>
      <c r="G5" s="46"/>
      <c r="H5" s="58"/>
      <c r="I5" s="60"/>
      <c r="M5" s="43"/>
    </row>
    <row r="6" spans="1:26" s="34" customFormat="1" x14ac:dyDescent="0.25">
      <c r="A6" s="42" t="s">
        <v>78</v>
      </c>
      <c r="G6" s="46"/>
      <c r="H6" s="58"/>
      <c r="I6" s="60"/>
      <c r="M6" s="43"/>
    </row>
    <row r="7" spans="1:26" s="34" customFormat="1" x14ac:dyDescent="0.25">
      <c r="G7" s="46"/>
      <c r="H7" s="58"/>
      <c r="I7" s="60"/>
      <c r="M7" s="43"/>
    </row>
    <row r="8" spans="1:26" x14ac:dyDescent="0.25">
      <c r="G8" s="47" t="s">
        <v>2</v>
      </c>
      <c r="H8" s="59" t="s">
        <v>6</v>
      </c>
      <c r="I8" s="61" t="s">
        <v>3</v>
      </c>
      <c r="J8" t="s">
        <v>7</v>
      </c>
      <c r="K8" t="s">
        <v>8</v>
      </c>
      <c r="L8" t="s">
        <v>4</v>
      </c>
      <c r="M8" s="44" t="s">
        <v>5</v>
      </c>
      <c r="N8" t="s">
        <v>42</v>
      </c>
    </row>
    <row r="9" spans="1:26" x14ac:dyDescent="0.25">
      <c r="G9" s="50">
        <v>45187</v>
      </c>
      <c r="H9" s="63" t="s">
        <v>61</v>
      </c>
      <c r="I9" s="62">
        <v>1.9409722222222221E-2</v>
      </c>
      <c r="J9" s="51"/>
      <c r="K9" s="51"/>
      <c r="L9" s="51" t="s">
        <v>86</v>
      </c>
      <c r="M9" s="52" t="s">
        <v>56</v>
      </c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</row>
    <row r="10" spans="1:26" x14ac:dyDescent="0.25">
      <c r="G10" s="48">
        <v>45187</v>
      </c>
      <c r="H10" s="59" t="s">
        <v>10</v>
      </c>
      <c r="I10" s="61">
        <v>0.72837962962962965</v>
      </c>
      <c r="J10">
        <v>2500</v>
      </c>
      <c r="L10">
        <v>10640</v>
      </c>
      <c r="M10" s="44">
        <v>245540024547</v>
      </c>
      <c r="N10">
        <v>245540024547</v>
      </c>
    </row>
    <row r="11" spans="1:26" x14ac:dyDescent="0.25">
      <c r="G11" s="50">
        <v>45188</v>
      </c>
      <c r="H11" s="63" t="s">
        <v>11</v>
      </c>
      <c r="I11" s="62">
        <v>0.73295138888888889</v>
      </c>
      <c r="J11" s="51">
        <v>1000</v>
      </c>
      <c r="K11" s="51"/>
      <c r="L11" s="51">
        <v>9640</v>
      </c>
      <c r="M11" s="52" t="s">
        <v>64</v>
      </c>
      <c r="N11" s="51" t="s">
        <v>12</v>
      </c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</row>
    <row r="12" spans="1:26" s="37" customFormat="1" x14ac:dyDescent="0.25">
      <c r="G12" s="49">
        <v>45188</v>
      </c>
      <c r="H12" s="64" t="s">
        <v>10</v>
      </c>
      <c r="I12" s="65">
        <v>0.74133101851851846</v>
      </c>
      <c r="J12" s="37">
        <v>20</v>
      </c>
      <c r="L12" s="37">
        <v>9620</v>
      </c>
      <c r="M12" s="45">
        <v>163540500567</v>
      </c>
      <c r="N12" s="37">
        <v>163540500567</v>
      </c>
    </row>
    <row r="13" spans="1:26" x14ac:dyDescent="0.25">
      <c r="G13" s="50">
        <v>45189</v>
      </c>
      <c r="H13" s="63" t="s">
        <v>61</v>
      </c>
      <c r="I13" s="62">
        <v>0.1083912037037037</v>
      </c>
      <c r="J13" s="51">
        <v>728</v>
      </c>
      <c r="K13" s="51"/>
      <c r="L13" s="51" t="s">
        <v>87</v>
      </c>
      <c r="M13" s="52" t="s">
        <v>56</v>
      </c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</row>
    <row r="14" spans="1:26" x14ac:dyDescent="0.25">
      <c r="G14" s="48">
        <v>45189</v>
      </c>
      <c r="H14" s="59" t="s">
        <v>61</v>
      </c>
      <c r="I14" s="61">
        <v>0.1083912037037037</v>
      </c>
      <c r="J14">
        <v>159</v>
      </c>
      <c r="L14" t="s">
        <v>86</v>
      </c>
      <c r="M14" s="44" t="s">
        <v>56</v>
      </c>
    </row>
    <row r="15" spans="1:26" x14ac:dyDescent="0.25">
      <c r="G15" s="50">
        <v>45189</v>
      </c>
      <c r="H15" s="63" t="s">
        <v>13</v>
      </c>
      <c r="I15" s="62">
        <v>0.96098379629629627</v>
      </c>
      <c r="J15" s="51"/>
      <c r="K15" s="51">
        <v>3</v>
      </c>
      <c r="L15" s="51">
        <v>8736</v>
      </c>
      <c r="M15" s="52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</row>
    <row r="16" spans="1:26" x14ac:dyDescent="0.25">
      <c r="G16" s="48">
        <v>45190</v>
      </c>
      <c r="H16" s="59" t="s">
        <v>10</v>
      </c>
      <c r="I16" s="61">
        <v>0.66515046296296299</v>
      </c>
      <c r="J16">
        <v>2680</v>
      </c>
      <c r="L16">
        <v>6056</v>
      </c>
      <c r="M16" s="44">
        <v>901563106171</v>
      </c>
      <c r="N16" t="s">
        <v>115</v>
      </c>
    </row>
    <row r="17" spans="7:26" x14ac:dyDescent="0.25">
      <c r="G17" s="50">
        <v>45190</v>
      </c>
      <c r="H17" s="63" t="s">
        <v>10</v>
      </c>
      <c r="I17" s="62">
        <v>0.80078703703703702</v>
      </c>
      <c r="J17" s="51"/>
      <c r="K17" s="51">
        <v>2680</v>
      </c>
      <c r="L17" s="51">
        <v>8736</v>
      </c>
      <c r="M17" s="52">
        <v>901563956897</v>
      </c>
      <c r="N17" s="51" t="s">
        <v>116</v>
      </c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</row>
    <row r="18" spans="7:26" x14ac:dyDescent="0.25">
      <c r="G18" s="48">
        <v>45191</v>
      </c>
      <c r="H18" s="59" t="s">
        <v>10</v>
      </c>
      <c r="I18" s="61">
        <v>6.7627314814814821E-2</v>
      </c>
      <c r="K18">
        <v>1600</v>
      </c>
      <c r="L18">
        <v>10336</v>
      </c>
      <c r="M18" s="44">
        <v>56540237361</v>
      </c>
      <c r="N18" t="s">
        <v>117</v>
      </c>
    </row>
    <row r="19" spans="7:26" x14ac:dyDescent="0.25">
      <c r="G19" s="50">
        <v>45191</v>
      </c>
      <c r="H19" s="63" t="s">
        <v>11</v>
      </c>
      <c r="I19" s="62">
        <v>6.9930555555555551E-2</v>
      </c>
      <c r="J19" s="51">
        <v>1600</v>
      </c>
      <c r="K19" s="51"/>
      <c r="L19" s="51">
        <v>8736</v>
      </c>
      <c r="M19" s="52" t="s">
        <v>65</v>
      </c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</row>
    <row r="20" spans="7:26" x14ac:dyDescent="0.25">
      <c r="G20" s="48">
        <v>45191</v>
      </c>
      <c r="H20" s="59" t="s">
        <v>61</v>
      </c>
      <c r="I20" s="61">
        <v>9.9814814814814815E-2</v>
      </c>
      <c r="J20">
        <v>235</v>
      </c>
      <c r="L20" t="s">
        <v>88</v>
      </c>
      <c r="M20" s="44" t="s">
        <v>56</v>
      </c>
    </row>
    <row r="21" spans="7:26" x14ac:dyDescent="0.25">
      <c r="G21" s="50">
        <v>45191</v>
      </c>
      <c r="H21" s="63" t="s">
        <v>61</v>
      </c>
      <c r="I21" s="62">
        <v>9.9814814814814815E-2</v>
      </c>
      <c r="J21" s="51">
        <v>91</v>
      </c>
      <c r="K21" s="51"/>
      <c r="L21" s="51" t="s">
        <v>88</v>
      </c>
      <c r="M21" s="52" t="s">
        <v>56</v>
      </c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</row>
    <row r="22" spans="7:26" x14ac:dyDescent="0.25">
      <c r="G22" s="48">
        <v>45191</v>
      </c>
      <c r="H22" s="59" t="s">
        <v>61</v>
      </c>
      <c r="I22" s="61">
        <v>9.9814814814814815E-2</v>
      </c>
      <c r="J22">
        <v>80</v>
      </c>
      <c r="L22" t="s">
        <v>89</v>
      </c>
      <c r="M22" s="44" t="s">
        <v>56</v>
      </c>
    </row>
    <row r="23" spans="7:26" x14ac:dyDescent="0.25">
      <c r="G23" s="50">
        <v>45191</v>
      </c>
      <c r="H23" s="63" t="s">
        <v>61</v>
      </c>
      <c r="I23" s="62">
        <v>9.9814814814814815E-2</v>
      </c>
      <c r="J23" s="51">
        <v>57</v>
      </c>
      <c r="K23" s="51"/>
      <c r="L23" s="51" t="s">
        <v>90</v>
      </c>
      <c r="M23" s="52" t="s">
        <v>56</v>
      </c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</row>
    <row r="24" spans="7:26" s="37" customFormat="1" x14ac:dyDescent="0.25">
      <c r="G24" s="49">
        <v>45191</v>
      </c>
      <c r="H24" s="64" t="s">
        <v>11</v>
      </c>
      <c r="I24" s="65">
        <v>0.66695601851851849</v>
      </c>
      <c r="J24" s="37">
        <v>600</v>
      </c>
      <c r="L24" s="37">
        <v>7673</v>
      </c>
      <c r="M24" s="45" t="s">
        <v>66</v>
      </c>
    </row>
    <row r="25" spans="7:26" x14ac:dyDescent="0.25">
      <c r="G25" s="50">
        <v>45192</v>
      </c>
      <c r="H25" s="63" t="s">
        <v>10</v>
      </c>
      <c r="I25" s="62">
        <v>0.52615740740740746</v>
      </c>
      <c r="J25" s="51"/>
      <c r="K25" s="51">
        <v>3000</v>
      </c>
      <c r="L25" s="51">
        <v>10673</v>
      </c>
      <c r="M25" s="52">
        <v>56540237361</v>
      </c>
      <c r="N25" s="51" t="s">
        <v>117</v>
      </c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</row>
    <row r="26" spans="7:26" x14ac:dyDescent="0.25">
      <c r="G26" s="48">
        <v>45193</v>
      </c>
      <c r="H26" s="59" t="s">
        <v>10</v>
      </c>
      <c r="I26" s="61">
        <v>0.59008101851851846</v>
      </c>
      <c r="J26">
        <v>2000</v>
      </c>
      <c r="L26">
        <v>8673</v>
      </c>
      <c r="M26" s="44">
        <v>48001144927</v>
      </c>
      <c r="N26">
        <v>4812125671756</v>
      </c>
    </row>
    <row r="27" spans="7:26" x14ac:dyDescent="0.25">
      <c r="G27" s="50">
        <v>45193</v>
      </c>
      <c r="H27" s="63" t="s">
        <v>10</v>
      </c>
      <c r="I27" s="62">
        <v>0.71262731481481489</v>
      </c>
      <c r="J27" s="51">
        <v>2500</v>
      </c>
      <c r="K27" s="51"/>
      <c r="L27" s="51">
        <v>6173</v>
      </c>
      <c r="M27" s="52">
        <v>901563956897</v>
      </c>
      <c r="N27" s="51" t="s">
        <v>118</v>
      </c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</row>
    <row r="28" spans="7:26" x14ac:dyDescent="0.25">
      <c r="G28" s="48">
        <v>45194</v>
      </c>
      <c r="H28" s="59" t="s">
        <v>61</v>
      </c>
      <c r="I28" s="61">
        <v>2.3009259259259257E-2</v>
      </c>
      <c r="J28">
        <v>127</v>
      </c>
      <c r="L28" t="s">
        <v>88</v>
      </c>
      <c r="M28" s="44" t="s">
        <v>56</v>
      </c>
    </row>
    <row r="29" spans="7:26" x14ac:dyDescent="0.25">
      <c r="G29" s="50">
        <v>45195</v>
      </c>
      <c r="H29" s="63" t="s">
        <v>61</v>
      </c>
      <c r="I29" s="62">
        <v>9.4062499999999993E-2</v>
      </c>
      <c r="J29" s="51">
        <v>778</v>
      </c>
      <c r="K29" s="51"/>
      <c r="L29" s="51" t="s">
        <v>91</v>
      </c>
      <c r="M29" s="52" t="s">
        <v>56</v>
      </c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</row>
    <row r="30" spans="7:26" x14ac:dyDescent="0.25">
      <c r="G30" s="48">
        <v>45195</v>
      </c>
      <c r="H30" s="59" t="s">
        <v>61</v>
      </c>
      <c r="I30" s="61">
        <v>9.4062499999999993E-2</v>
      </c>
      <c r="J30">
        <v>490</v>
      </c>
      <c r="L30" t="s">
        <v>57</v>
      </c>
      <c r="M30" s="44" t="s">
        <v>56</v>
      </c>
    </row>
    <row r="31" spans="7:26" x14ac:dyDescent="0.25">
      <c r="G31" s="50">
        <v>45195</v>
      </c>
      <c r="H31" s="63" t="s">
        <v>61</v>
      </c>
      <c r="I31" s="62">
        <v>9.4062499999999993E-2</v>
      </c>
      <c r="J31" s="51">
        <v>173</v>
      </c>
      <c r="K31" s="51"/>
      <c r="L31" s="51" t="s">
        <v>88</v>
      </c>
      <c r="M31" s="52" t="s">
        <v>56</v>
      </c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</row>
    <row r="32" spans="7:26" x14ac:dyDescent="0.25">
      <c r="G32" s="48">
        <v>45195</v>
      </c>
      <c r="H32" s="59" t="s">
        <v>61</v>
      </c>
      <c r="I32" s="61">
        <v>9.4062499999999993E-2</v>
      </c>
      <c r="J32">
        <v>154</v>
      </c>
      <c r="L32" t="s">
        <v>88</v>
      </c>
      <c r="M32" s="44" t="s">
        <v>56</v>
      </c>
    </row>
    <row r="33" spans="2:26" x14ac:dyDescent="0.25">
      <c r="G33" s="50">
        <v>45196</v>
      </c>
      <c r="H33" s="63" t="s">
        <v>9</v>
      </c>
      <c r="I33" s="62">
        <v>6.8101851851851858E-2</v>
      </c>
      <c r="J33" s="51"/>
      <c r="K33" s="51">
        <v>8000</v>
      </c>
      <c r="L33" s="51">
        <v>12451</v>
      </c>
      <c r="M33" s="52">
        <v>79190256843200</v>
      </c>
      <c r="N33" s="51" t="s">
        <v>119</v>
      </c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</row>
    <row r="34" spans="2:26" x14ac:dyDescent="0.25">
      <c r="G34" s="48">
        <v>45196</v>
      </c>
      <c r="H34" s="59" t="s">
        <v>61</v>
      </c>
      <c r="I34" s="61">
        <v>0.11888888888888889</v>
      </c>
      <c r="J34">
        <v>119</v>
      </c>
      <c r="L34" t="s">
        <v>88</v>
      </c>
      <c r="M34" s="44" t="s">
        <v>56</v>
      </c>
    </row>
    <row r="35" spans="2:26" x14ac:dyDescent="0.25">
      <c r="G35" s="50">
        <v>45196</v>
      </c>
      <c r="H35" s="63" t="s">
        <v>61</v>
      </c>
      <c r="I35" s="62">
        <v>0.11888888888888889</v>
      </c>
      <c r="J35" s="51">
        <v>59</v>
      </c>
      <c r="K35" s="51"/>
      <c r="L35" s="51" t="s">
        <v>88</v>
      </c>
      <c r="M35" s="52" t="s">
        <v>56</v>
      </c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</row>
    <row r="36" spans="2:26" x14ac:dyDescent="0.25">
      <c r="G36" s="48">
        <v>45196</v>
      </c>
      <c r="H36" s="59" t="s">
        <v>61</v>
      </c>
      <c r="I36" s="61">
        <v>0.11888888888888889</v>
      </c>
      <c r="J36">
        <v>58</v>
      </c>
      <c r="L36" t="s">
        <v>88</v>
      </c>
      <c r="M36" s="44" t="s">
        <v>56</v>
      </c>
    </row>
    <row r="37" spans="2:26" x14ac:dyDescent="0.25">
      <c r="G37" s="50">
        <v>45196</v>
      </c>
      <c r="H37" s="63" t="s">
        <v>61</v>
      </c>
      <c r="I37" s="62">
        <v>0.11888888888888889</v>
      </c>
      <c r="J37" s="51">
        <v>49</v>
      </c>
      <c r="K37" s="51"/>
      <c r="L37" s="51" t="s">
        <v>88</v>
      </c>
      <c r="M37" s="52" t="s">
        <v>56</v>
      </c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</row>
    <row r="38" spans="2:26" x14ac:dyDescent="0.25">
      <c r="G38" s="48">
        <v>45196</v>
      </c>
      <c r="H38" s="59" t="s">
        <v>58</v>
      </c>
      <c r="I38" s="61">
        <v>0.11888888888888889</v>
      </c>
      <c r="J38">
        <v>7</v>
      </c>
      <c r="L38">
        <v>12159</v>
      </c>
      <c r="M38" s="44" t="s">
        <v>59</v>
      </c>
    </row>
    <row r="39" spans="2:26" x14ac:dyDescent="0.25">
      <c r="G39" s="50">
        <v>45197</v>
      </c>
      <c r="H39" s="63" t="s">
        <v>61</v>
      </c>
      <c r="I39" s="62">
        <v>0.10417824074074074</v>
      </c>
      <c r="J39" s="51">
        <v>499</v>
      </c>
      <c r="K39" s="51"/>
      <c r="L39" s="51" t="s">
        <v>92</v>
      </c>
      <c r="M39" s="52" t="s">
        <v>56</v>
      </c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</row>
    <row r="40" spans="2:26" x14ac:dyDescent="0.25">
      <c r="G40" s="48">
        <v>45197</v>
      </c>
      <c r="H40" s="59" t="s">
        <v>61</v>
      </c>
      <c r="I40" s="61">
        <v>0.10417824074074074</v>
      </c>
      <c r="J40">
        <v>166</v>
      </c>
      <c r="L40" t="s">
        <v>93</v>
      </c>
      <c r="M40" s="44" t="s">
        <v>56</v>
      </c>
    </row>
    <row r="41" spans="2:26" x14ac:dyDescent="0.25">
      <c r="G41" s="50">
        <v>45197</v>
      </c>
      <c r="H41" s="63" t="s">
        <v>61</v>
      </c>
      <c r="I41" s="62">
        <v>0.10417824074074074</v>
      </c>
      <c r="J41" s="51">
        <v>152</v>
      </c>
      <c r="K41" s="51"/>
      <c r="L41" s="51" t="s">
        <v>94</v>
      </c>
      <c r="M41" s="52" t="s">
        <v>56</v>
      </c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</row>
    <row r="42" spans="2:26" x14ac:dyDescent="0.25">
      <c r="G42" s="48">
        <v>45197</v>
      </c>
      <c r="H42" s="59" t="s">
        <v>61</v>
      </c>
      <c r="I42" s="61">
        <v>0.10417824074074074</v>
      </c>
      <c r="J42">
        <v>101</v>
      </c>
      <c r="L42" t="s">
        <v>88</v>
      </c>
      <c r="M42" s="44" t="s">
        <v>56</v>
      </c>
    </row>
    <row r="43" spans="2:26" x14ac:dyDescent="0.25">
      <c r="G43" s="50">
        <v>45197</v>
      </c>
      <c r="H43" s="63" t="s">
        <v>61</v>
      </c>
      <c r="I43" s="62">
        <v>0.10417824074074074</v>
      </c>
      <c r="J43" s="51">
        <v>89</v>
      </c>
      <c r="K43" s="51"/>
      <c r="L43" s="51" t="s">
        <v>88</v>
      </c>
      <c r="M43" s="52" t="s">
        <v>56</v>
      </c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</row>
    <row r="44" spans="2:26" x14ac:dyDescent="0.25">
      <c r="G44" s="48">
        <v>45197</v>
      </c>
      <c r="H44" s="59" t="s">
        <v>61</v>
      </c>
      <c r="I44" s="61">
        <v>0.10417824074074074</v>
      </c>
      <c r="J44">
        <v>65</v>
      </c>
      <c r="L44" t="s">
        <v>95</v>
      </c>
      <c r="M44" s="44" t="s">
        <v>56</v>
      </c>
    </row>
    <row r="45" spans="2:26" x14ac:dyDescent="0.25">
      <c r="G45" s="50">
        <v>45197</v>
      </c>
      <c r="H45" s="63" t="s">
        <v>61</v>
      </c>
      <c r="I45" s="62">
        <v>0.10417824074074074</v>
      </c>
      <c r="J45" s="51">
        <v>29</v>
      </c>
      <c r="K45" s="51"/>
      <c r="L45" s="51" t="s">
        <v>88</v>
      </c>
      <c r="M45" s="52" t="s">
        <v>56</v>
      </c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</row>
    <row r="46" spans="2:26" x14ac:dyDescent="0.25">
      <c r="G46" s="48">
        <v>45197</v>
      </c>
      <c r="H46" s="59" t="s">
        <v>61</v>
      </c>
      <c r="I46" s="61">
        <v>0.10417824074074074</v>
      </c>
      <c r="J46">
        <v>20</v>
      </c>
      <c r="L46" t="s">
        <v>88</v>
      </c>
      <c r="M46" s="44" t="s">
        <v>56</v>
      </c>
    </row>
    <row r="47" spans="2:26" x14ac:dyDescent="0.25">
      <c r="G47" s="50">
        <v>45199</v>
      </c>
      <c r="H47" s="63" t="s">
        <v>10</v>
      </c>
      <c r="I47" s="62">
        <v>0.70512731481481483</v>
      </c>
      <c r="J47" s="51">
        <v>280</v>
      </c>
      <c r="K47" s="51"/>
      <c r="L47" s="51">
        <v>10758</v>
      </c>
      <c r="M47" s="52">
        <v>901540588547</v>
      </c>
      <c r="N47" s="51">
        <v>901540588547</v>
      </c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</row>
    <row r="48" spans="2:26" x14ac:dyDescent="0.25">
      <c r="B48" s="56"/>
      <c r="G48" s="48">
        <v>45200</v>
      </c>
      <c r="H48" s="59" t="s">
        <v>10</v>
      </c>
      <c r="I48" s="61">
        <v>0.68099537037037028</v>
      </c>
      <c r="J48">
        <v>1000</v>
      </c>
      <c r="L48">
        <v>9758</v>
      </c>
      <c r="M48" s="44">
        <v>901563956897</v>
      </c>
      <c r="N48" t="s">
        <v>60</v>
      </c>
    </row>
    <row r="49" spans="2:26" x14ac:dyDescent="0.25">
      <c r="B49" s="56"/>
      <c r="G49" s="50">
        <v>45201</v>
      </c>
      <c r="H49" s="63" t="s">
        <v>61</v>
      </c>
      <c r="I49" s="62">
        <v>1.9675925925925927E-2</v>
      </c>
      <c r="J49" s="51">
        <v>2879</v>
      </c>
      <c r="K49" s="51"/>
      <c r="L49" s="51" t="s">
        <v>96</v>
      </c>
      <c r="M49" s="52" t="s">
        <v>56</v>
      </c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</row>
    <row r="50" spans="2:26" x14ac:dyDescent="0.25">
      <c r="B50" s="56"/>
      <c r="G50" s="48">
        <v>45201</v>
      </c>
      <c r="H50" s="59" t="s">
        <v>61</v>
      </c>
      <c r="I50" s="61">
        <v>1.9675925925925927E-2</v>
      </c>
      <c r="J50">
        <v>161</v>
      </c>
      <c r="L50" t="s">
        <v>93</v>
      </c>
      <c r="M50" s="44" t="s">
        <v>56</v>
      </c>
    </row>
    <row r="51" spans="2:26" x14ac:dyDescent="0.25">
      <c r="B51" s="56"/>
      <c r="G51" s="50">
        <v>45201</v>
      </c>
      <c r="H51" s="63" t="s">
        <v>10</v>
      </c>
      <c r="I51" s="62">
        <v>0.66538194444444443</v>
      </c>
      <c r="J51" s="51"/>
      <c r="K51" s="51">
        <v>10000</v>
      </c>
      <c r="L51" s="51">
        <v>16718</v>
      </c>
      <c r="M51" s="52">
        <v>901563956897</v>
      </c>
      <c r="N51" s="51" t="s">
        <v>120</v>
      </c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</row>
    <row r="52" spans="2:26" x14ac:dyDescent="0.25">
      <c r="B52" s="56"/>
      <c r="G52" s="48">
        <v>45201</v>
      </c>
      <c r="H52" s="59" t="s">
        <v>10</v>
      </c>
      <c r="I52" s="61">
        <v>0.66625000000000001</v>
      </c>
      <c r="K52">
        <v>10000</v>
      </c>
      <c r="L52">
        <v>26718</v>
      </c>
      <c r="M52" s="44">
        <v>901563956897</v>
      </c>
      <c r="N52" t="s">
        <v>120</v>
      </c>
    </row>
    <row r="53" spans="2:26" x14ac:dyDescent="0.25">
      <c r="B53" s="56"/>
      <c r="G53" s="50">
        <v>45201</v>
      </c>
      <c r="H53" s="63" t="s">
        <v>10</v>
      </c>
      <c r="I53" s="62">
        <v>0.66664351851851855</v>
      </c>
      <c r="J53" s="51"/>
      <c r="K53" s="51">
        <v>10000</v>
      </c>
      <c r="L53" s="51">
        <v>36718</v>
      </c>
      <c r="M53" s="52">
        <v>901563956897</v>
      </c>
      <c r="N53" s="51" t="s">
        <v>120</v>
      </c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</row>
    <row r="54" spans="2:26" x14ac:dyDescent="0.25">
      <c r="B54" s="56"/>
      <c r="G54" s="48">
        <v>45201</v>
      </c>
      <c r="H54" s="59" t="s">
        <v>9</v>
      </c>
      <c r="I54" s="61">
        <v>0.66763888888888889</v>
      </c>
      <c r="J54">
        <v>30000</v>
      </c>
      <c r="L54">
        <v>6718</v>
      </c>
      <c r="M54" s="44">
        <v>28881012841507</v>
      </c>
      <c r="N54" t="s">
        <v>120</v>
      </c>
    </row>
    <row r="55" spans="2:26" x14ac:dyDescent="0.25">
      <c r="B55" s="56"/>
      <c r="G55" s="50">
        <v>45201</v>
      </c>
      <c r="H55" s="63" t="s">
        <v>10</v>
      </c>
      <c r="I55" s="62">
        <v>0.66859953703703701</v>
      </c>
      <c r="J55" s="51">
        <v>900</v>
      </c>
      <c r="K55" s="51"/>
      <c r="L55" s="51">
        <v>5818</v>
      </c>
      <c r="M55" s="52">
        <v>901563956897</v>
      </c>
      <c r="N55" s="51" t="s">
        <v>121</v>
      </c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</row>
    <row r="56" spans="2:26" x14ac:dyDescent="0.25">
      <c r="B56" s="56"/>
      <c r="G56" s="48">
        <v>45202</v>
      </c>
      <c r="H56" s="59" t="s">
        <v>61</v>
      </c>
      <c r="I56" s="61">
        <v>0.15584490740740739</v>
      </c>
      <c r="J56">
        <v>4310</v>
      </c>
      <c r="L56" t="s">
        <v>97</v>
      </c>
      <c r="M56" s="44" t="s">
        <v>56</v>
      </c>
    </row>
    <row r="57" spans="2:26" x14ac:dyDescent="0.25">
      <c r="B57" s="56"/>
      <c r="G57" s="50">
        <v>45202</v>
      </c>
      <c r="H57" s="63" t="s">
        <v>58</v>
      </c>
      <c r="I57" s="62">
        <v>0.15584490740740739</v>
      </c>
      <c r="J57" s="51">
        <v>10</v>
      </c>
      <c r="K57" s="51"/>
      <c r="L57" s="51">
        <v>1498</v>
      </c>
      <c r="M57" s="52" t="s">
        <v>67</v>
      </c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</row>
    <row r="58" spans="2:26" s="37" customFormat="1" x14ac:dyDescent="0.25">
      <c r="B58" s="57"/>
      <c r="G58" s="49">
        <v>45202</v>
      </c>
      <c r="H58" s="64" t="s">
        <v>10</v>
      </c>
      <c r="I58" s="65">
        <v>0.43327546296296293</v>
      </c>
      <c r="J58" s="37">
        <v>38</v>
      </c>
      <c r="L58" s="37">
        <v>1460</v>
      </c>
      <c r="M58" s="45">
        <v>901563956897</v>
      </c>
      <c r="N58" s="37" t="s">
        <v>122</v>
      </c>
    </row>
    <row r="59" spans="2:26" x14ac:dyDescent="0.25">
      <c r="B59" s="56"/>
      <c r="G59" s="50">
        <v>45204</v>
      </c>
      <c r="H59" s="63" t="s">
        <v>61</v>
      </c>
      <c r="I59" s="62">
        <v>0.10924768518518518</v>
      </c>
      <c r="J59" s="51">
        <v>313</v>
      </c>
      <c r="K59" s="51"/>
      <c r="L59" s="51" t="s">
        <v>98</v>
      </c>
      <c r="M59" s="52" t="s">
        <v>56</v>
      </c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</row>
    <row r="60" spans="2:26" x14ac:dyDescent="0.25">
      <c r="B60" s="56"/>
      <c r="G60" s="48">
        <v>45204</v>
      </c>
      <c r="H60" s="59" t="s">
        <v>61</v>
      </c>
      <c r="I60" s="61">
        <v>0.10924768518518518</v>
      </c>
      <c r="J60">
        <v>250</v>
      </c>
      <c r="L60" t="s">
        <v>99</v>
      </c>
      <c r="M60" s="44" t="s">
        <v>56</v>
      </c>
    </row>
    <row r="61" spans="2:26" x14ac:dyDescent="0.25">
      <c r="B61" s="56"/>
      <c r="G61" s="50">
        <v>45204</v>
      </c>
      <c r="H61" s="63" t="s">
        <v>61</v>
      </c>
      <c r="I61" s="62">
        <v>0.10924768518518518</v>
      </c>
      <c r="J61" s="51">
        <v>130</v>
      </c>
      <c r="K61" s="51"/>
      <c r="L61" s="51" t="s">
        <v>88</v>
      </c>
      <c r="M61" s="52" t="s">
        <v>56</v>
      </c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</row>
    <row r="62" spans="2:26" x14ac:dyDescent="0.25">
      <c r="B62" s="56"/>
      <c r="G62" s="48">
        <v>45204</v>
      </c>
      <c r="H62" s="59" t="s">
        <v>61</v>
      </c>
      <c r="I62" s="61">
        <v>0.10924768518518518</v>
      </c>
      <c r="J62">
        <v>77</v>
      </c>
      <c r="L62" t="s">
        <v>88</v>
      </c>
      <c r="M62" s="44" t="s">
        <v>56</v>
      </c>
    </row>
    <row r="63" spans="2:26" x14ac:dyDescent="0.25">
      <c r="B63" s="56"/>
      <c r="G63" s="50">
        <v>45204</v>
      </c>
      <c r="H63" s="63" t="s">
        <v>61</v>
      </c>
      <c r="I63" s="62">
        <v>0.10924768518518518</v>
      </c>
      <c r="J63" s="51">
        <v>74</v>
      </c>
      <c r="K63" s="51"/>
      <c r="L63" s="51" t="s">
        <v>88</v>
      </c>
      <c r="M63" s="52" t="s">
        <v>56</v>
      </c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</row>
    <row r="64" spans="2:26" x14ac:dyDescent="0.25">
      <c r="B64" s="56"/>
      <c r="G64" s="48">
        <v>45204</v>
      </c>
      <c r="H64" s="59" t="s">
        <v>10</v>
      </c>
      <c r="I64" s="61">
        <v>0.90859953703703711</v>
      </c>
      <c r="K64">
        <v>8920</v>
      </c>
      <c r="L64">
        <v>9536</v>
      </c>
      <c r="M64" s="44">
        <v>56540237361</v>
      </c>
      <c r="N64" t="s">
        <v>117</v>
      </c>
    </row>
    <row r="65" spans="2:26" x14ac:dyDescent="0.25">
      <c r="B65" s="56"/>
      <c r="G65" s="50">
        <v>45205</v>
      </c>
      <c r="H65" s="63" t="s">
        <v>61</v>
      </c>
      <c r="I65" s="62">
        <v>0.14284722222222221</v>
      </c>
      <c r="J65" s="51">
        <v>70</v>
      </c>
      <c r="K65" s="51"/>
      <c r="L65" s="51" t="s">
        <v>100</v>
      </c>
      <c r="M65" s="52" t="s">
        <v>56</v>
      </c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</row>
    <row r="66" spans="2:26" x14ac:dyDescent="0.25">
      <c r="B66" s="56"/>
      <c r="G66" s="48">
        <v>45205</v>
      </c>
      <c r="H66" s="59" t="s">
        <v>61</v>
      </c>
      <c r="I66" s="61">
        <v>0.14284722222222221</v>
      </c>
      <c r="J66">
        <v>60</v>
      </c>
      <c r="L66" t="s">
        <v>101</v>
      </c>
      <c r="M66" s="44" t="s">
        <v>56</v>
      </c>
    </row>
    <row r="67" spans="2:26" x14ac:dyDescent="0.25">
      <c r="B67" s="56"/>
      <c r="G67" s="50">
        <v>45205</v>
      </c>
      <c r="H67" s="63" t="s">
        <v>61</v>
      </c>
      <c r="I67" s="62">
        <v>0.14284722222222221</v>
      </c>
      <c r="J67" s="51">
        <v>50</v>
      </c>
      <c r="K67" s="51"/>
      <c r="L67" s="51" t="s">
        <v>89</v>
      </c>
      <c r="M67" s="52" t="s">
        <v>56</v>
      </c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</row>
    <row r="68" spans="2:26" x14ac:dyDescent="0.25">
      <c r="B68" s="56"/>
      <c r="G68" s="48">
        <v>45205</v>
      </c>
      <c r="H68" s="59" t="s">
        <v>11</v>
      </c>
      <c r="I68" s="61">
        <v>0.65812499999999996</v>
      </c>
      <c r="J68">
        <v>7000</v>
      </c>
      <c r="L68">
        <v>2356</v>
      </c>
      <c r="M68" s="44" t="s">
        <v>68</v>
      </c>
      <c r="N68" t="s">
        <v>12</v>
      </c>
    </row>
    <row r="69" spans="2:26" x14ac:dyDescent="0.25">
      <c r="B69" s="56"/>
      <c r="G69" s="50">
        <v>45205</v>
      </c>
      <c r="H69" s="63" t="s">
        <v>10</v>
      </c>
      <c r="I69" s="62">
        <v>0.86810185185185185</v>
      </c>
      <c r="J69" s="51"/>
      <c r="K69" s="51">
        <v>10000</v>
      </c>
      <c r="L69" s="51">
        <v>12356</v>
      </c>
      <c r="M69" s="52">
        <v>901564954940</v>
      </c>
      <c r="N69" s="51" t="s">
        <v>123</v>
      </c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</row>
    <row r="70" spans="2:26" x14ac:dyDescent="0.25">
      <c r="B70" s="56"/>
      <c r="G70" s="48">
        <v>45205</v>
      </c>
      <c r="H70" s="59" t="s">
        <v>10</v>
      </c>
      <c r="I70" s="61">
        <v>0.8685532407407407</v>
      </c>
      <c r="K70">
        <v>7000</v>
      </c>
      <c r="L70">
        <v>19356</v>
      </c>
      <c r="M70" s="44">
        <v>901564954940</v>
      </c>
      <c r="N70" t="s">
        <v>123</v>
      </c>
    </row>
    <row r="71" spans="2:26" x14ac:dyDescent="0.25">
      <c r="B71" s="56"/>
      <c r="G71" s="50">
        <v>45206</v>
      </c>
      <c r="H71" s="63" t="s">
        <v>9</v>
      </c>
      <c r="I71" s="62">
        <v>0.25820601851851849</v>
      </c>
      <c r="J71" s="51">
        <v>4000</v>
      </c>
      <c r="K71" s="51"/>
      <c r="L71" s="51">
        <v>15341</v>
      </c>
      <c r="M71" s="52">
        <v>15976723768</v>
      </c>
      <c r="N71" s="51">
        <v>15976723768</v>
      </c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</row>
    <row r="72" spans="2:26" x14ac:dyDescent="0.25">
      <c r="B72" s="56"/>
      <c r="G72" s="48">
        <v>45206</v>
      </c>
      <c r="H72" s="59" t="s">
        <v>9</v>
      </c>
      <c r="I72" s="61">
        <v>0.4325694444444444</v>
      </c>
      <c r="J72">
        <v>2200</v>
      </c>
      <c r="L72">
        <v>13126</v>
      </c>
      <c r="M72" s="44">
        <v>699510731011</v>
      </c>
      <c r="N72">
        <v>699510731011</v>
      </c>
    </row>
    <row r="73" spans="2:26" x14ac:dyDescent="0.25">
      <c r="B73" s="56"/>
      <c r="G73" s="50">
        <v>45206</v>
      </c>
      <c r="H73" s="63" t="s">
        <v>11</v>
      </c>
      <c r="I73" s="62">
        <v>0.43405092592592592</v>
      </c>
      <c r="J73" s="51">
        <v>10000</v>
      </c>
      <c r="K73" s="51"/>
      <c r="L73" s="51">
        <v>3126</v>
      </c>
      <c r="M73" s="52" t="s">
        <v>69</v>
      </c>
      <c r="N73" s="51" t="s">
        <v>12</v>
      </c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</row>
    <row r="74" spans="2:26" x14ac:dyDescent="0.25">
      <c r="B74" s="56"/>
      <c r="G74" s="48">
        <v>45212</v>
      </c>
      <c r="H74" s="59" t="s">
        <v>61</v>
      </c>
      <c r="I74" s="61">
        <v>0.1779398148148148</v>
      </c>
      <c r="J74">
        <v>263</v>
      </c>
      <c r="L74" t="s">
        <v>88</v>
      </c>
      <c r="M74" s="44" t="s">
        <v>56</v>
      </c>
    </row>
    <row r="75" spans="2:26" x14ac:dyDescent="0.25">
      <c r="B75" s="56"/>
      <c r="G75" s="50">
        <v>45212</v>
      </c>
      <c r="H75" s="63" t="s">
        <v>61</v>
      </c>
      <c r="I75" s="62">
        <v>0.1779398148148148</v>
      </c>
      <c r="J75" s="51">
        <v>149</v>
      </c>
      <c r="K75" s="51"/>
      <c r="L75" s="51" t="s">
        <v>88</v>
      </c>
      <c r="M75" s="52" t="s">
        <v>56</v>
      </c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</row>
    <row r="76" spans="2:26" x14ac:dyDescent="0.25">
      <c r="B76" s="56"/>
      <c r="G76" s="48">
        <v>45212</v>
      </c>
      <c r="H76" s="59" t="s">
        <v>61</v>
      </c>
      <c r="I76" s="61">
        <v>0.1779398148148148</v>
      </c>
      <c r="J76">
        <v>125</v>
      </c>
      <c r="L76" t="s">
        <v>88</v>
      </c>
      <c r="M76" s="44" t="s">
        <v>56</v>
      </c>
    </row>
    <row r="77" spans="2:26" x14ac:dyDescent="0.25">
      <c r="B77" s="56"/>
      <c r="G77" s="50">
        <v>45212</v>
      </c>
      <c r="H77" s="63" t="s">
        <v>61</v>
      </c>
      <c r="I77" s="62">
        <v>0.1779398148148148</v>
      </c>
      <c r="J77" s="51">
        <v>118</v>
      </c>
      <c r="K77" s="51"/>
      <c r="L77" s="51" t="s">
        <v>101</v>
      </c>
      <c r="M77" s="52" t="s">
        <v>56</v>
      </c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</row>
    <row r="78" spans="2:26" x14ac:dyDescent="0.25">
      <c r="B78" s="56"/>
      <c r="G78" s="48">
        <v>45212</v>
      </c>
      <c r="H78" s="59" t="s">
        <v>61</v>
      </c>
      <c r="I78" s="61">
        <v>0.1779398148148148</v>
      </c>
      <c r="J78">
        <v>108</v>
      </c>
      <c r="L78" t="s">
        <v>88</v>
      </c>
      <c r="M78" s="44" t="s">
        <v>56</v>
      </c>
    </row>
    <row r="79" spans="2:26" x14ac:dyDescent="0.25">
      <c r="B79" s="56"/>
      <c r="G79" s="50">
        <v>45212</v>
      </c>
      <c r="H79" s="63" t="s">
        <v>61</v>
      </c>
      <c r="I79" s="62">
        <v>0.1779398148148148</v>
      </c>
      <c r="J79" s="51">
        <v>108</v>
      </c>
      <c r="K79" s="51"/>
      <c r="L79" s="51" t="s">
        <v>88</v>
      </c>
      <c r="M79" s="52" t="s">
        <v>56</v>
      </c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</row>
    <row r="80" spans="2:26" x14ac:dyDescent="0.25">
      <c r="B80" s="56"/>
      <c r="G80" s="48">
        <v>45212</v>
      </c>
      <c r="H80" s="59" t="s">
        <v>61</v>
      </c>
      <c r="I80" s="61">
        <v>0.1779398148148148</v>
      </c>
      <c r="J80">
        <v>84</v>
      </c>
      <c r="L80" t="s">
        <v>88</v>
      </c>
      <c r="M80" s="44" t="s">
        <v>56</v>
      </c>
    </row>
    <row r="81" spans="2:26" x14ac:dyDescent="0.25">
      <c r="B81" s="56"/>
      <c r="G81" s="50">
        <v>45212</v>
      </c>
      <c r="H81" s="63" t="s">
        <v>61</v>
      </c>
      <c r="I81" s="62">
        <v>0.1779398148148148</v>
      </c>
      <c r="J81" s="51">
        <v>22</v>
      </c>
      <c r="K81" s="51"/>
      <c r="L81" s="51" t="s">
        <v>88</v>
      </c>
      <c r="M81" s="52" t="s">
        <v>56</v>
      </c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</row>
    <row r="82" spans="2:26" x14ac:dyDescent="0.25">
      <c r="B82" s="56"/>
      <c r="G82" s="48">
        <v>45212</v>
      </c>
      <c r="H82" s="59" t="s">
        <v>9</v>
      </c>
      <c r="I82" s="61">
        <v>0.5003819444444445</v>
      </c>
      <c r="K82">
        <v>10000</v>
      </c>
      <c r="L82">
        <v>12149</v>
      </c>
      <c r="M82" s="44">
        <v>58909501140300</v>
      </c>
      <c r="N82" t="s">
        <v>119</v>
      </c>
    </row>
    <row r="83" spans="2:26" x14ac:dyDescent="0.25">
      <c r="B83" s="56"/>
      <c r="G83" s="50">
        <v>45212</v>
      </c>
      <c r="H83" s="63" t="s">
        <v>9</v>
      </c>
      <c r="I83" s="62">
        <v>0.50144675925925919</v>
      </c>
      <c r="J83" s="51"/>
      <c r="K83" s="51">
        <v>10000</v>
      </c>
      <c r="L83" s="51">
        <v>22149</v>
      </c>
      <c r="M83" s="52">
        <v>58909501140300</v>
      </c>
      <c r="N83" s="51" t="s">
        <v>119</v>
      </c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</row>
    <row r="84" spans="2:26" x14ac:dyDescent="0.25">
      <c r="B84" s="56"/>
      <c r="G84" s="48">
        <v>45212</v>
      </c>
      <c r="H84" s="59" t="s">
        <v>10</v>
      </c>
      <c r="I84" s="61">
        <v>0.50310185185185186</v>
      </c>
      <c r="J84">
        <v>16000</v>
      </c>
      <c r="L84">
        <v>6149</v>
      </c>
      <c r="M84" s="44">
        <v>901564954940</v>
      </c>
      <c r="N84" t="s">
        <v>124</v>
      </c>
    </row>
    <row r="85" spans="2:26" x14ac:dyDescent="0.25">
      <c r="B85" s="56"/>
      <c r="G85" s="50">
        <v>45212</v>
      </c>
      <c r="H85" s="63" t="s">
        <v>9</v>
      </c>
      <c r="I85" s="62">
        <v>0.60887731481481489</v>
      </c>
      <c r="J85" s="51"/>
      <c r="K85" s="51">
        <v>8640</v>
      </c>
      <c r="L85" s="51">
        <v>14789</v>
      </c>
      <c r="M85" s="52">
        <v>79190256843200</v>
      </c>
      <c r="N85" s="51" t="s">
        <v>119</v>
      </c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</row>
    <row r="86" spans="2:26" x14ac:dyDescent="0.25">
      <c r="B86" s="56"/>
      <c r="G86" s="48">
        <v>45212</v>
      </c>
      <c r="H86" s="59" t="s">
        <v>10</v>
      </c>
      <c r="I86" s="61">
        <v>0.6697685185185186</v>
      </c>
      <c r="J86">
        <v>3401</v>
      </c>
      <c r="L86">
        <v>11388</v>
      </c>
      <c r="M86" s="44">
        <v>2049630293</v>
      </c>
      <c r="N86">
        <v>2049630293</v>
      </c>
    </row>
    <row r="87" spans="2:26" x14ac:dyDescent="0.25">
      <c r="B87" s="56"/>
      <c r="G87" s="50">
        <v>45212</v>
      </c>
      <c r="H87" s="63" t="s">
        <v>11</v>
      </c>
      <c r="I87" s="62">
        <v>0.67472222222222211</v>
      </c>
      <c r="J87" s="51">
        <v>9300</v>
      </c>
      <c r="K87" s="51"/>
      <c r="L87" s="51">
        <v>2088</v>
      </c>
      <c r="M87" s="52" t="s">
        <v>70</v>
      </c>
      <c r="N87" s="51" t="s">
        <v>12</v>
      </c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</row>
    <row r="88" spans="2:26" x14ac:dyDescent="0.25">
      <c r="B88" s="56"/>
      <c r="G88" s="48">
        <v>45216</v>
      </c>
      <c r="H88" s="59" t="s">
        <v>61</v>
      </c>
      <c r="I88" s="61">
        <v>0.1027199074074074</v>
      </c>
      <c r="J88">
        <v>2000</v>
      </c>
      <c r="L88" t="s">
        <v>102</v>
      </c>
      <c r="M88" s="44" t="s">
        <v>56</v>
      </c>
    </row>
    <row r="89" spans="2:26" x14ac:dyDescent="0.25">
      <c r="B89" s="56"/>
      <c r="G89" s="50">
        <v>45216</v>
      </c>
      <c r="H89" s="63" t="s">
        <v>9</v>
      </c>
      <c r="I89" s="62">
        <v>0.4406018518518518</v>
      </c>
      <c r="J89" s="51"/>
      <c r="K89" s="51">
        <v>9800</v>
      </c>
      <c r="L89" s="51">
        <v>9888</v>
      </c>
      <c r="M89" s="52">
        <v>58909501140300</v>
      </c>
      <c r="N89" s="51" t="s">
        <v>119</v>
      </c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</row>
    <row r="90" spans="2:26" x14ac:dyDescent="0.25">
      <c r="B90" s="56"/>
      <c r="G90" s="48">
        <v>45217</v>
      </c>
      <c r="H90" s="59" t="s">
        <v>9</v>
      </c>
      <c r="I90" s="61">
        <v>0.42400462962962965</v>
      </c>
      <c r="J90">
        <v>2148</v>
      </c>
      <c r="L90">
        <v>7725</v>
      </c>
      <c r="M90" s="44">
        <v>699510731011</v>
      </c>
      <c r="N90">
        <v>699510731011</v>
      </c>
    </row>
    <row r="91" spans="2:26" x14ac:dyDescent="0.25">
      <c r="B91" s="56"/>
      <c r="G91" s="50">
        <v>45217</v>
      </c>
      <c r="H91" s="63" t="s">
        <v>9</v>
      </c>
      <c r="I91" s="62">
        <v>0.45747685185185188</v>
      </c>
      <c r="J91" s="51"/>
      <c r="K91" s="51">
        <v>19200</v>
      </c>
      <c r="L91" s="51">
        <v>26925</v>
      </c>
      <c r="M91" s="52">
        <v>213471014925</v>
      </c>
      <c r="N91" s="51" t="s">
        <v>119</v>
      </c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</row>
    <row r="92" spans="2:26" x14ac:dyDescent="0.25">
      <c r="B92" s="56"/>
      <c r="G92" s="48">
        <v>45217</v>
      </c>
      <c r="H92" s="59" t="s">
        <v>10</v>
      </c>
      <c r="I92" s="61">
        <v>0.45795138888888887</v>
      </c>
      <c r="J92">
        <v>22359</v>
      </c>
      <c r="L92">
        <v>4566</v>
      </c>
      <c r="M92" s="44">
        <v>48001144927</v>
      </c>
      <c r="N92">
        <v>4812125671756</v>
      </c>
    </row>
    <row r="93" spans="2:26" s="37" customFormat="1" x14ac:dyDescent="0.25">
      <c r="B93" s="57"/>
      <c r="G93" s="53">
        <v>45217</v>
      </c>
      <c r="H93" s="66" t="s">
        <v>10</v>
      </c>
      <c r="I93" s="67">
        <v>0.73295138888888889</v>
      </c>
      <c r="J93" s="54">
        <v>40</v>
      </c>
      <c r="K93" s="54"/>
      <c r="L93" s="54">
        <v>4526</v>
      </c>
      <c r="M93" s="55">
        <v>901540588547</v>
      </c>
      <c r="N93" s="54">
        <v>901540588547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2:26" x14ac:dyDescent="0.25">
      <c r="B94" s="56"/>
      <c r="G94" s="48">
        <v>45218</v>
      </c>
      <c r="H94" s="59" t="s">
        <v>61</v>
      </c>
      <c r="I94" s="61">
        <v>0.11771990740740741</v>
      </c>
      <c r="J94">
        <v>61</v>
      </c>
      <c r="L94" t="s">
        <v>103</v>
      </c>
      <c r="M94" s="44" t="s">
        <v>56</v>
      </c>
    </row>
    <row r="95" spans="2:26" x14ac:dyDescent="0.25">
      <c r="B95" s="56"/>
      <c r="G95" s="50">
        <v>45218</v>
      </c>
      <c r="H95" s="63" t="s">
        <v>9</v>
      </c>
      <c r="I95" s="62">
        <v>0.84564814814814815</v>
      </c>
      <c r="J95" s="51">
        <v>2000</v>
      </c>
      <c r="K95" s="51"/>
      <c r="L95" s="51">
        <v>2450</v>
      </c>
      <c r="M95" s="52">
        <v>213471014925</v>
      </c>
      <c r="N95" s="51" t="s">
        <v>125</v>
      </c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</row>
    <row r="96" spans="2:26" x14ac:dyDescent="0.25">
      <c r="B96" s="56"/>
      <c r="G96" s="48">
        <v>45220</v>
      </c>
      <c r="H96" s="59" t="s">
        <v>13</v>
      </c>
      <c r="I96" s="61">
        <v>0.18079861111111109</v>
      </c>
      <c r="K96">
        <v>3</v>
      </c>
      <c r="L96">
        <v>2453</v>
      </c>
    </row>
    <row r="97" spans="2:26" x14ac:dyDescent="0.25">
      <c r="B97" s="56"/>
      <c r="G97" s="50">
        <v>45220</v>
      </c>
      <c r="H97" s="63" t="s">
        <v>10</v>
      </c>
      <c r="I97" s="62">
        <v>0.23277777777777778</v>
      </c>
      <c r="J97" s="51">
        <v>654</v>
      </c>
      <c r="K97" s="51"/>
      <c r="L97" s="51">
        <v>1799</v>
      </c>
      <c r="M97" s="52">
        <v>901563956897</v>
      </c>
      <c r="N97" s="51" t="s">
        <v>126</v>
      </c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</row>
    <row r="98" spans="2:26" x14ac:dyDescent="0.25">
      <c r="B98" s="56"/>
      <c r="G98" s="48">
        <v>45220</v>
      </c>
      <c r="H98" s="59" t="s">
        <v>10</v>
      </c>
      <c r="I98" s="61">
        <v>0.23283564814814817</v>
      </c>
      <c r="J98">
        <v>1155</v>
      </c>
      <c r="L98">
        <v>644</v>
      </c>
      <c r="M98" s="44">
        <v>901563956897</v>
      </c>
      <c r="N98" t="s">
        <v>121</v>
      </c>
    </row>
    <row r="99" spans="2:26" x14ac:dyDescent="0.25">
      <c r="B99" s="56"/>
      <c r="G99" s="50">
        <v>45223</v>
      </c>
      <c r="H99" s="63" t="s">
        <v>61</v>
      </c>
      <c r="I99" s="62">
        <v>0.11149305555555555</v>
      </c>
      <c r="J99" s="51">
        <v>107</v>
      </c>
      <c r="K99" s="51"/>
      <c r="L99" s="51" t="s">
        <v>88</v>
      </c>
      <c r="M99" s="52" t="s">
        <v>56</v>
      </c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</row>
    <row r="100" spans="2:26" x14ac:dyDescent="0.25">
      <c r="B100" s="56"/>
      <c r="G100" s="48">
        <v>45224</v>
      </c>
      <c r="H100" s="59" t="s">
        <v>61</v>
      </c>
      <c r="I100" s="61">
        <v>0.13084490740740742</v>
      </c>
      <c r="J100">
        <v>45</v>
      </c>
      <c r="L100" t="s">
        <v>88</v>
      </c>
      <c r="M100" s="44" t="s">
        <v>56</v>
      </c>
    </row>
    <row r="101" spans="2:26" x14ac:dyDescent="0.25">
      <c r="B101" s="56"/>
      <c r="G101" s="50">
        <v>45225</v>
      </c>
      <c r="H101" s="63" t="s">
        <v>61</v>
      </c>
      <c r="I101" s="62">
        <v>0.13743055555555556</v>
      </c>
      <c r="J101" s="51">
        <v>256</v>
      </c>
      <c r="K101" s="51"/>
      <c r="L101" s="51" t="s">
        <v>104</v>
      </c>
      <c r="M101" s="52" t="s">
        <v>56</v>
      </c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</row>
    <row r="102" spans="2:26" x14ac:dyDescent="0.25">
      <c r="B102" s="56"/>
      <c r="G102" s="48">
        <v>45225</v>
      </c>
      <c r="H102" s="59" t="s">
        <v>61</v>
      </c>
      <c r="I102" s="61">
        <v>0.13743055555555556</v>
      </c>
      <c r="J102">
        <v>129</v>
      </c>
      <c r="L102" t="s">
        <v>105</v>
      </c>
      <c r="M102" s="44" t="s">
        <v>56</v>
      </c>
    </row>
    <row r="103" spans="2:26" x14ac:dyDescent="0.25">
      <c r="B103" s="56"/>
      <c r="G103" s="50">
        <v>45227</v>
      </c>
      <c r="H103" s="63" t="s">
        <v>9</v>
      </c>
      <c r="I103" s="62">
        <v>0.64620370370370372</v>
      </c>
      <c r="J103" s="51"/>
      <c r="K103" s="51">
        <v>300</v>
      </c>
      <c r="L103" s="51">
        <v>407</v>
      </c>
      <c r="M103" s="52">
        <v>213471014925</v>
      </c>
      <c r="N103" s="51" t="s">
        <v>119</v>
      </c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</row>
    <row r="104" spans="2:26" s="37" customFormat="1" x14ac:dyDescent="0.25">
      <c r="B104" s="57"/>
      <c r="G104" s="49">
        <v>45228</v>
      </c>
      <c r="H104" s="64" t="s">
        <v>10</v>
      </c>
      <c r="I104" s="65">
        <v>0.72329861111111116</v>
      </c>
      <c r="J104" s="37">
        <v>35</v>
      </c>
      <c r="L104" s="37">
        <v>372</v>
      </c>
      <c r="M104" s="45">
        <v>163540500567</v>
      </c>
      <c r="N104" s="37">
        <v>163540500567</v>
      </c>
    </row>
    <row r="105" spans="2:26" x14ac:dyDescent="0.25">
      <c r="G105" s="50">
        <v>45232</v>
      </c>
      <c r="H105" s="63" t="s">
        <v>61</v>
      </c>
      <c r="I105" s="62">
        <v>0.12667824074074074</v>
      </c>
      <c r="J105" s="51">
        <v>20</v>
      </c>
      <c r="K105" s="51"/>
      <c r="L105" s="51" t="s">
        <v>88</v>
      </c>
      <c r="M105" s="52" t="s">
        <v>56</v>
      </c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</row>
    <row r="106" spans="2:26" x14ac:dyDescent="0.25">
      <c r="G106" s="48">
        <v>45233</v>
      </c>
      <c r="H106" s="59" t="s">
        <v>61</v>
      </c>
      <c r="I106" s="61">
        <v>0.1074074074074074</v>
      </c>
      <c r="J106">
        <v>49</v>
      </c>
      <c r="L106" t="s">
        <v>88</v>
      </c>
      <c r="M106" s="44" t="s">
        <v>56</v>
      </c>
    </row>
    <row r="107" spans="2:26" x14ac:dyDescent="0.25">
      <c r="G107" s="50">
        <v>45233</v>
      </c>
      <c r="H107" s="63" t="s">
        <v>61</v>
      </c>
      <c r="I107" s="62">
        <v>0.1074074074074074</v>
      </c>
      <c r="J107" s="51">
        <v>45</v>
      </c>
      <c r="K107" s="51"/>
      <c r="L107" s="51" t="s">
        <v>88</v>
      </c>
      <c r="M107" s="52" t="s">
        <v>56</v>
      </c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</row>
    <row r="108" spans="2:26" x14ac:dyDescent="0.25">
      <c r="G108" s="48">
        <v>45233</v>
      </c>
      <c r="H108" s="59" t="s">
        <v>61</v>
      </c>
      <c r="I108" s="61">
        <v>0.1074074074074074</v>
      </c>
      <c r="J108">
        <v>20</v>
      </c>
      <c r="L108" t="s">
        <v>101</v>
      </c>
      <c r="M108" s="44" t="s">
        <v>56</v>
      </c>
    </row>
    <row r="109" spans="2:26" x14ac:dyDescent="0.25">
      <c r="G109" s="50">
        <v>45234</v>
      </c>
      <c r="H109" s="63" t="s">
        <v>9</v>
      </c>
      <c r="I109" s="62">
        <v>8.0590277777777775E-2</v>
      </c>
      <c r="J109" s="51"/>
      <c r="K109" s="51">
        <v>5000</v>
      </c>
      <c r="L109" s="51">
        <v>5238</v>
      </c>
      <c r="M109" s="52">
        <v>79190256843200</v>
      </c>
      <c r="N109" s="51" t="s">
        <v>119</v>
      </c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</row>
    <row r="110" spans="2:26" x14ac:dyDescent="0.25">
      <c r="G110" s="48">
        <v>45234</v>
      </c>
      <c r="H110" s="59" t="s">
        <v>9</v>
      </c>
      <c r="I110" s="61">
        <v>0.23805555555555555</v>
      </c>
      <c r="J110">
        <v>5000</v>
      </c>
      <c r="L110">
        <v>238</v>
      </c>
      <c r="M110" s="44">
        <v>15976723768</v>
      </c>
      <c r="N110">
        <v>15976723768</v>
      </c>
    </row>
    <row r="111" spans="2:26" x14ac:dyDescent="0.25">
      <c r="G111" s="50">
        <v>45234</v>
      </c>
      <c r="H111" s="63" t="s">
        <v>9</v>
      </c>
      <c r="I111" s="62">
        <v>0.35416666666666669</v>
      </c>
      <c r="J111" s="51"/>
      <c r="K111" s="51">
        <v>500</v>
      </c>
      <c r="L111" s="51">
        <v>738</v>
      </c>
      <c r="M111" s="52">
        <v>20201800227774</v>
      </c>
      <c r="N111" s="51" t="s">
        <v>119</v>
      </c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</row>
    <row r="112" spans="2:26" x14ac:dyDescent="0.25">
      <c r="G112" s="48">
        <v>45234</v>
      </c>
      <c r="H112" s="59" t="s">
        <v>10</v>
      </c>
      <c r="I112" s="61">
        <v>0.84234953703703708</v>
      </c>
      <c r="K112">
        <v>2700</v>
      </c>
      <c r="L112">
        <v>3438</v>
      </c>
      <c r="M112" s="44">
        <v>56540237361</v>
      </c>
      <c r="N112" t="s">
        <v>117</v>
      </c>
    </row>
    <row r="113" spans="7:26" x14ac:dyDescent="0.25">
      <c r="G113" s="50">
        <v>45236</v>
      </c>
      <c r="H113" s="63" t="s">
        <v>61</v>
      </c>
      <c r="I113" s="62">
        <v>2.2372685185185186E-2</v>
      </c>
      <c r="J113" s="51">
        <v>50</v>
      </c>
      <c r="K113" s="51"/>
      <c r="L113" s="51" t="s">
        <v>106</v>
      </c>
      <c r="M113" s="52" t="s">
        <v>71</v>
      </c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</row>
    <row r="114" spans="7:26" x14ac:dyDescent="0.25">
      <c r="G114" s="48">
        <v>45236</v>
      </c>
      <c r="H114" s="59" t="s">
        <v>61</v>
      </c>
      <c r="I114" s="61">
        <v>2.2372685185185186E-2</v>
      </c>
      <c r="J114">
        <v>8</v>
      </c>
      <c r="L114" t="s">
        <v>88</v>
      </c>
      <c r="M114" s="44" t="s">
        <v>56</v>
      </c>
    </row>
    <row r="115" spans="7:26" x14ac:dyDescent="0.25">
      <c r="G115" s="50">
        <v>45238</v>
      </c>
      <c r="H115" s="63" t="s">
        <v>61</v>
      </c>
      <c r="I115" s="62">
        <v>0.13900462962962964</v>
      </c>
      <c r="J115" s="51">
        <v>25</v>
      </c>
      <c r="K115" s="51"/>
      <c r="L115" s="51" t="s">
        <v>107</v>
      </c>
      <c r="M115" s="52" t="s">
        <v>56</v>
      </c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</row>
    <row r="116" spans="7:26" x14ac:dyDescent="0.25">
      <c r="G116" s="48">
        <v>45238</v>
      </c>
      <c r="H116" s="59" t="s">
        <v>11</v>
      </c>
      <c r="I116" s="61">
        <v>0.81761574074074073</v>
      </c>
      <c r="J116">
        <v>2700</v>
      </c>
      <c r="L116">
        <v>655</v>
      </c>
      <c r="M116" s="44" t="s">
        <v>72</v>
      </c>
      <c r="N116" t="s">
        <v>12</v>
      </c>
    </row>
    <row r="117" spans="7:26" x14ac:dyDescent="0.25">
      <c r="G117" s="50">
        <v>45239</v>
      </c>
      <c r="H117" s="63" t="s">
        <v>61</v>
      </c>
      <c r="I117" s="62">
        <v>0.10270833333333333</v>
      </c>
      <c r="J117" s="51">
        <v>189</v>
      </c>
      <c r="K117" s="51"/>
      <c r="L117" s="51" t="s">
        <v>108</v>
      </c>
      <c r="M117" s="52" t="s">
        <v>56</v>
      </c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</row>
    <row r="118" spans="7:26" x14ac:dyDescent="0.25">
      <c r="G118" s="48">
        <v>45239</v>
      </c>
      <c r="H118" s="59" t="s">
        <v>61</v>
      </c>
      <c r="I118" s="61">
        <v>0.10270833333333333</v>
      </c>
      <c r="J118">
        <v>70</v>
      </c>
      <c r="L118" t="s">
        <v>109</v>
      </c>
      <c r="M118" s="44" t="s">
        <v>56</v>
      </c>
    </row>
    <row r="119" spans="7:26" x14ac:dyDescent="0.25">
      <c r="G119" s="50">
        <v>45244</v>
      </c>
      <c r="H119" s="63" t="s">
        <v>61</v>
      </c>
      <c r="I119" s="62">
        <v>0.1006712962962963</v>
      </c>
      <c r="J119" s="51">
        <v>92</v>
      </c>
      <c r="K119" s="51"/>
      <c r="L119" s="51" t="s">
        <v>101</v>
      </c>
      <c r="M119" s="52" t="s">
        <v>56</v>
      </c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</row>
    <row r="120" spans="7:26" x14ac:dyDescent="0.25">
      <c r="G120" s="48">
        <v>45244</v>
      </c>
      <c r="H120" s="59" t="s">
        <v>9</v>
      </c>
      <c r="I120" s="61">
        <v>0.85462962962962974</v>
      </c>
      <c r="K120">
        <v>10000</v>
      </c>
      <c r="L120">
        <v>10304</v>
      </c>
      <c r="M120" s="44">
        <v>58909501140300</v>
      </c>
      <c r="N120" t="s">
        <v>119</v>
      </c>
    </row>
    <row r="121" spans="7:26" x14ac:dyDescent="0.25">
      <c r="G121" s="50">
        <v>45244</v>
      </c>
      <c r="H121" s="63" t="s">
        <v>9</v>
      </c>
      <c r="I121" s="62">
        <v>0.85490740740740734</v>
      </c>
      <c r="J121" s="51"/>
      <c r="K121" s="51">
        <v>10000</v>
      </c>
      <c r="L121" s="51">
        <v>20304</v>
      </c>
      <c r="M121" s="52">
        <v>58909501140300</v>
      </c>
      <c r="N121" s="51" t="s">
        <v>119</v>
      </c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</row>
    <row r="122" spans="7:26" x14ac:dyDescent="0.25">
      <c r="G122" s="48">
        <v>45245</v>
      </c>
      <c r="H122" s="59" t="s">
        <v>11</v>
      </c>
      <c r="I122" s="61">
        <v>7.4861111111111114E-2</v>
      </c>
      <c r="J122">
        <v>20000</v>
      </c>
      <c r="L122">
        <v>304</v>
      </c>
      <c r="M122" s="44" t="s">
        <v>73</v>
      </c>
      <c r="N122" t="s">
        <v>12</v>
      </c>
    </row>
    <row r="123" spans="7:26" x14ac:dyDescent="0.25">
      <c r="G123" s="50">
        <v>45245</v>
      </c>
      <c r="H123" s="63" t="s">
        <v>61</v>
      </c>
      <c r="I123" s="62">
        <v>0.12562500000000001</v>
      </c>
      <c r="J123" s="51">
        <v>194</v>
      </c>
      <c r="K123" s="51"/>
      <c r="L123" s="51" t="s">
        <v>110</v>
      </c>
      <c r="M123" s="52" t="s">
        <v>56</v>
      </c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</row>
    <row r="124" spans="7:26" x14ac:dyDescent="0.25">
      <c r="G124" s="48">
        <v>45245</v>
      </c>
      <c r="H124" s="59" t="s">
        <v>61</v>
      </c>
      <c r="I124" s="61">
        <v>0.12562500000000001</v>
      </c>
      <c r="J124">
        <v>61</v>
      </c>
      <c r="L124" t="s">
        <v>88</v>
      </c>
      <c r="M124" s="44" t="s">
        <v>56</v>
      </c>
    </row>
    <row r="125" spans="7:26" x14ac:dyDescent="0.25">
      <c r="G125" s="50">
        <v>45245</v>
      </c>
      <c r="H125" s="63" t="s">
        <v>61</v>
      </c>
      <c r="I125" s="62">
        <v>0.12562500000000001</v>
      </c>
      <c r="J125" s="51">
        <v>44</v>
      </c>
      <c r="K125" s="51"/>
      <c r="L125" s="51" t="s">
        <v>88</v>
      </c>
      <c r="M125" s="52" t="s">
        <v>56</v>
      </c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</row>
    <row r="126" spans="7:26" x14ac:dyDescent="0.25">
      <c r="G126" s="48">
        <v>45245</v>
      </c>
      <c r="H126" s="59" t="s">
        <v>9</v>
      </c>
      <c r="I126" s="61">
        <v>0.60043981481481479</v>
      </c>
      <c r="K126">
        <v>3240</v>
      </c>
      <c r="L126">
        <v>3245</v>
      </c>
      <c r="M126" s="44">
        <v>79190256843200</v>
      </c>
      <c r="N126" t="s">
        <v>119</v>
      </c>
    </row>
    <row r="127" spans="7:26" x14ac:dyDescent="0.25">
      <c r="G127" s="50">
        <v>45245</v>
      </c>
      <c r="H127" s="63" t="s">
        <v>9</v>
      </c>
      <c r="I127" s="62">
        <v>0.60813657407407407</v>
      </c>
      <c r="J127" s="51"/>
      <c r="K127" s="51">
        <v>6900</v>
      </c>
      <c r="L127" s="51">
        <v>10145</v>
      </c>
      <c r="M127" s="52">
        <v>58909501140300</v>
      </c>
      <c r="N127" s="51" t="s">
        <v>119</v>
      </c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</row>
    <row r="128" spans="7:26" x14ac:dyDescent="0.25">
      <c r="G128" s="48">
        <v>45245</v>
      </c>
      <c r="H128" s="59" t="s">
        <v>10</v>
      </c>
      <c r="I128" s="61">
        <v>0.60924768518518524</v>
      </c>
      <c r="J128">
        <v>3401</v>
      </c>
      <c r="L128">
        <v>6744</v>
      </c>
      <c r="M128" s="44">
        <v>2049630293</v>
      </c>
      <c r="N128">
        <v>2049630293</v>
      </c>
    </row>
    <row r="129" spans="7:26" x14ac:dyDescent="0.25">
      <c r="G129" s="50">
        <v>45246</v>
      </c>
      <c r="H129" s="63" t="s">
        <v>10</v>
      </c>
      <c r="I129" s="62">
        <v>0.3313888888888889</v>
      </c>
      <c r="J129" s="51">
        <v>400</v>
      </c>
      <c r="K129" s="51"/>
      <c r="L129" s="51">
        <v>6344</v>
      </c>
      <c r="M129" s="52">
        <v>163540500567</v>
      </c>
      <c r="N129" s="51">
        <v>163540500567</v>
      </c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</row>
    <row r="130" spans="7:26" x14ac:dyDescent="0.25">
      <c r="G130" s="48">
        <v>45248</v>
      </c>
      <c r="H130" s="59" t="s">
        <v>10</v>
      </c>
      <c r="I130" s="61">
        <v>0.42263888888888884</v>
      </c>
      <c r="J130">
        <v>3007</v>
      </c>
      <c r="L130">
        <v>3337</v>
      </c>
      <c r="M130" s="44">
        <v>48001144927</v>
      </c>
      <c r="N130">
        <v>4812125671756</v>
      </c>
    </row>
    <row r="131" spans="7:26" x14ac:dyDescent="0.25">
      <c r="G131" s="50">
        <v>45248</v>
      </c>
      <c r="H131" s="63" t="s">
        <v>9</v>
      </c>
      <c r="I131" s="62">
        <v>0.42375000000000002</v>
      </c>
      <c r="J131" s="51">
        <v>1997</v>
      </c>
      <c r="K131" s="51"/>
      <c r="L131" s="51">
        <v>1325</v>
      </c>
      <c r="M131" s="52">
        <v>699510731011</v>
      </c>
      <c r="N131" s="51">
        <v>699510731011</v>
      </c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</row>
    <row r="132" spans="7:26" x14ac:dyDescent="0.25">
      <c r="G132" s="48">
        <v>45250</v>
      </c>
      <c r="H132" s="59" t="s">
        <v>13</v>
      </c>
      <c r="I132" s="61">
        <v>0.95803240740740747</v>
      </c>
      <c r="K132">
        <v>1</v>
      </c>
      <c r="L132">
        <v>1326</v>
      </c>
    </row>
    <row r="133" spans="7:26" x14ac:dyDescent="0.25">
      <c r="G133" s="50">
        <v>45251</v>
      </c>
      <c r="H133" s="63" t="s">
        <v>10</v>
      </c>
      <c r="I133" s="62">
        <v>0.66525462962962967</v>
      </c>
      <c r="J133" s="51"/>
      <c r="K133" s="51">
        <v>3880</v>
      </c>
      <c r="L133" s="51">
        <v>5206</v>
      </c>
      <c r="M133" s="52">
        <v>160540202570</v>
      </c>
      <c r="N133" s="51" t="s">
        <v>127</v>
      </c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</row>
    <row r="134" spans="7:26" x14ac:dyDescent="0.25">
      <c r="G134" s="48">
        <v>45251</v>
      </c>
      <c r="H134" s="59" t="s">
        <v>10</v>
      </c>
      <c r="I134" s="61">
        <v>0.67533564814814817</v>
      </c>
      <c r="J134">
        <v>3880</v>
      </c>
      <c r="L134">
        <v>1326</v>
      </c>
      <c r="M134" s="44">
        <v>428540995561</v>
      </c>
      <c r="N134" t="s">
        <v>128</v>
      </c>
    </row>
    <row r="135" spans="7:26" x14ac:dyDescent="0.25">
      <c r="G135" s="50">
        <v>45258</v>
      </c>
      <c r="H135" s="63" t="s">
        <v>10</v>
      </c>
      <c r="I135" s="62">
        <v>7.4490740740740746E-2</v>
      </c>
      <c r="J135" s="51">
        <v>452</v>
      </c>
      <c r="K135" s="51"/>
      <c r="L135" s="51">
        <v>874</v>
      </c>
      <c r="M135" s="52">
        <v>901563956897</v>
      </c>
      <c r="N135" s="51" t="s">
        <v>129</v>
      </c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</row>
    <row r="136" spans="7:26" x14ac:dyDescent="0.25">
      <c r="G136" s="48">
        <v>45258</v>
      </c>
      <c r="H136" s="59" t="s">
        <v>61</v>
      </c>
      <c r="I136" s="61">
        <v>0.10377314814814814</v>
      </c>
      <c r="J136">
        <v>14</v>
      </c>
      <c r="L136" t="s">
        <v>88</v>
      </c>
      <c r="M136" s="44" t="s">
        <v>56</v>
      </c>
    </row>
    <row r="137" spans="7:26" x14ac:dyDescent="0.25">
      <c r="G137" s="50">
        <v>45258</v>
      </c>
      <c r="H137" s="63" t="s">
        <v>9</v>
      </c>
      <c r="I137" s="62">
        <v>0.48061342592592587</v>
      </c>
      <c r="J137" s="51">
        <v>250</v>
      </c>
      <c r="K137" s="51"/>
      <c r="L137" s="51">
        <v>610</v>
      </c>
      <c r="M137" s="52">
        <v>213470516969</v>
      </c>
      <c r="N137" s="51">
        <v>213470516969</v>
      </c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</row>
    <row r="138" spans="7:26" x14ac:dyDescent="0.25">
      <c r="G138" s="48">
        <v>45259</v>
      </c>
      <c r="H138" s="59" t="s">
        <v>61</v>
      </c>
      <c r="I138" s="61">
        <v>9.869212962962963E-2</v>
      </c>
      <c r="J138">
        <v>144</v>
      </c>
      <c r="L138" t="s">
        <v>111</v>
      </c>
      <c r="M138" s="44" t="s">
        <v>56</v>
      </c>
    </row>
    <row r="139" spans="7:26" x14ac:dyDescent="0.25">
      <c r="G139" s="50">
        <v>45259</v>
      </c>
      <c r="H139" s="63" t="s">
        <v>61</v>
      </c>
      <c r="I139" s="62">
        <v>9.869212962962963E-2</v>
      </c>
      <c r="J139" s="51">
        <v>59</v>
      </c>
      <c r="K139" s="51"/>
      <c r="L139" s="51" t="s">
        <v>107</v>
      </c>
      <c r="M139" s="52" t="s">
        <v>56</v>
      </c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</row>
    <row r="140" spans="7:26" x14ac:dyDescent="0.25">
      <c r="G140" s="48">
        <v>45259</v>
      </c>
      <c r="H140" s="59" t="s">
        <v>61</v>
      </c>
      <c r="I140" s="61">
        <v>9.869212962962963E-2</v>
      </c>
      <c r="J140">
        <v>59</v>
      </c>
      <c r="L140" t="s">
        <v>88</v>
      </c>
      <c r="M140" s="44" t="s">
        <v>56</v>
      </c>
    </row>
    <row r="141" spans="7:26" x14ac:dyDescent="0.25">
      <c r="G141" s="50">
        <v>45259</v>
      </c>
      <c r="H141" s="63" t="s">
        <v>61</v>
      </c>
      <c r="I141" s="62">
        <v>9.869212962962963E-2</v>
      </c>
      <c r="J141" s="51">
        <v>55</v>
      </c>
      <c r="K141" s="51"/>
      <c r="L141" s="51" t="s">
        <v>112</v>
      </c>
      <c r="M141" s="52" t="s">
        <v>56</v>
      </c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</row>
    <row r="142" spans="7:26" x14ac:dyDescent="0.25">
      <c r="G142" s="48">
        <v>45259</v>
      </c>
      <c r="H142" s="59" t="s">
        <v>61</v>
      </c>
      <c r="I142" s="61">
        <v>9.869212962962963E-2</v>
      </c>
      <c r="J142">
        <v>39</v>
      </c>
      <c r="L142" t="s">
        <v>101</v>
      </c>
      <c r="M142" s="44" t="s">
        <v>56</v>
      </c>
    </row>
    <row r="143" spans="7:26" x14ac:dyDescent="0.25">
      <c r="G143" s="50">
        <v>45260</v>
      </c>
      <c r="H143" s="63" t="s">
        <v>61</v>
      </c>
      <c r="I143" s="62">
        <v>9.9074074074074078E-2</v>
      </c>
      <c r="J143" s="51">
        <v>101</v>
      </c>
      <c r="K143" s="51"/>
      <c r="L143" s="51" t="s">
        <v>101</v>
      </c>
      <c r="M143" s="52" t="s">
        <v>56</v>
      </c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</row>
    <row r="144" spans="7:26" x14ac:dyDescent="0.25">
      <c r="G144" s="48">
        <v>45265</v>
      </c>
      <c r="H144" s="59" t="s">
        <v>10</v>
      </c>
      <c r="I144" s="61">
        <v>7.7083333333333337E-2</v>
      </c>
      <c r="K144">
        <v>668</v>
      </c>
      <c r="L144">
        <v>821</v>
      </c>
      <c r="M144" s="44">
        <v>901563956897</v>
      </c>
      <c r="N144" t="s">
        <v>130</v>
      </c>
    </row>
    <row r="145" spans="7:26" x14ac:dyDescent="0.25">
      <c r="G145" s="50">
        <v>45265</v>
      </c>
      <c r="H145" s="63" t="s">
        <v>9</v>
      </c>
      <c r="I145" s="62">
        <v>0.61862268518518515</v>
      </c>
      <c r="J145" s="51"/>
      <c r="K145" s="51">
        <v>2600</v>
      </c>
      <c r="L145" s="51">
        <v>3421</v>
      </c>
      <c r="M145" s="52">
        <v>213471014925</v>
      </c>
      <c r="N145" s="51" t="s">
        <v>119</v>
      </c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</row>
    <row r="146" spans="7:26" x14ac:dyDescent="0.25">
      <c r="G146" s="48">
        <v>45265</v>
      </c>
      <c r="H146" s="59" t="s">
        <v>11</v>
      </c>
      <c r="I146" s="61">
        <v>0.62065972222222221</v>
      </c>
      <c r="J146">
        <v>2700</v>
      </c>
      <c r="L146">
        <v>721</v>
      </c>
      <c r="M146" s="44" t="s">
        <v>74</v>
      </c>
      <c r="N146" t="s">
        <v>12</v>
      </c>
    </row>
    <row r="147" spans="7:26" x14ac:dyDescent="0.25">
      <c r="G147" s="50">
        <v>45267</v>
      </c>
      <c r="H147" s="63" t="s">
        <v>9</v>
      </c>
      <c r="I147" s="62">
        <v>0.24582175925925928</v>
      </c>
      <c r="J147" s="51"/>
      <c r="K147" s="51">
        <v>700</v>
      </c>
      <c r="L147" s="51">
        <v>1421</v>
      </c>
      <c r="M147" s="52">
        <v>213471014925</v>
      </c>
      <c r="N147" s="51" t="s">
        <v>119</v>
      </c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</row>
    <row r="148" spans="7:26" x14ac:dyDescent="0.25">
      <c r="G148" s="48">
        <v>45268</v>
      </c>
      <c r="H148" s="59" t="s">
        <v>11</v>
      </c>
      <c r="I148" s="61">
        <v>0.55743055555555554</v>
      </c>
      <c r="J148">
        <v>1000</v>
      </c>
      <c r="L148">
        <v>421</v>
      </c>
      <c r="M148" s="44" t="s">
        <v>75</v>
      </c>
      <c r="N148" t="s">
        <v>12</v>
      </c>
    </row>
    <row r="149" spans="7:26" x14ac:dyDescent="0.25">
      <c r="G149" s="50">
        <v>45268</v>
      </c>
      <c r="H149" s="63" t="s">
        <v>10</v>
      </c>
      <c r="I149" s="62">
        <v>0.86070601851851858</v>
      </c>
      <c r="J149" s="51"/>
      <c r="K149" s="51">
        <v>2000</v>
      </c>
      <c r="L149" s="51">
        <v>2421</v>
      </c>
      <c r="M149" s="52">
        <v>901564954940</v>
      </c>
      <c r="N149" s="51" t="s">
        <v>123</v>
      </c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</row>
    <row r="150" spans="7:26" x14ac:dyDescent="0.25">
      <c r="G150" s="48">
        <v>45269</v>
      </c>
      <c r="H150" s="59" t="s">
        <v>10</v>
      </c>
      <c r="I150" s="61">
        <v>0.47969907407407408</v>
      </c>
      <c r="J150">
        <v>2000</v>
      </c>
      <c r="L150">
        <v>421</v>
      </c>
      <c r="M150" s="44">
        <v>245540024547</v>
      </c>
      <c r="N150">
        <v>245540024547</v>
      </c>
    </row>
    <row r="151" spans="7:26" x14ac:dyDescent="0.25">
      <c r="G151" s="50">
        <v>45272</v>
      </c>
      <c r="H151" s="63" t="s">
        <v>11</v>
      </c>
      <c r="I151" s="62">
        <v>0.77976851851851858</v>
      </c>
      <c r="J151" s="51"/>
      <c r="K151" s="51">
        <v>700</v>
      </c>
      <c r="L151" s="51">
        <v>1121</v>
      </c>
      <c r="M151" s="52">
        <v>901562057959</v>
      </c>
      <c r="N151" s="51" t="s">
        <v>119</v>
      </c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</row>
    <row r="152" spans="7:26" x14ac:dyDescent="0.25">
      <c r="G152" s="48">
        <v>45272</v>
      </c>
      <c r="H152" s="59" t="s">
        <v>10</v>
      </c>
      <c r="I152" s="61">
        <v>0.7860300925925926</v>
      </c>
      <c r="J152">
        <v>345</v>
      </c>
      <c r="L152">
        <v>776</v>
      </c>
      <c r="M152" s="44">
        <v>901563956897</v>
      </c>
      <c r="N152" t="s">
        <v>131</v>
      </c>
    </row>
    <row r="153" spans="7:26" x14ac:dyDescent="0.25">
      <c r="G153" s="50">
        <v>45273</v>
      </c>
      <c r="H153" s="63" t="s">
        <v>61</v>
      </c>
      <c r="I153" s="62">
        <v>0.13424768518518518</v>
      </c>
      <c r="J153" s="51">
        <v>130</v>
      </c>
      <c r="K153" s="51"/>
      <c r="L153" s="51" t="s">
        <v>113</v>
      </c>
      <c r="M153" s="52" t="s">
        <v>56</v>
      </c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</row>
    <row r="154" spans="7:26" x14ac:dyDescent="0.25">
      <c r="G154" s="48">
        <v>45273</v>
      </c>
      <c r="H154" s="59" t="s">
        <v>61</v>
      </c>
      <c r="I154" s="61">
        <v>0.13424768518518518</v>
      </c>
      <c r="J154">
        <v>20</v>
      </c>
      <c r="L154" t="s">
        <v>88</v>
      </c>
      <c r="M154" s="44" t="s">
        <v>56</v>
      </c>
    </row>
    <row r="155" spans="7:26" x14ac:dyDescent="0.25">
      <c r="G155" s="50">
        <v>45274</v>
      </c>
      <c r="H155" s="63" t="s">
        <v>61</v>
      </c>
      <c r="I155" s="62">
        <v>0.11825231481481481</v>
      </c>
      <c r="J155" s="51">
        <v>199</v>
      </c>
      <c r="K155" s="51"/>
      <c r="L155" s="51" t="s">
        <v>114</v>
      </c>
      <c r="M155" s="52" t="s">
        <v>56</v>
      </c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</row>
    <row r="156" spans="7:26" x14ac:dyDescent="0.25">
      <c r="G156" s="48">
        <v>45274</v>
      </c>
      <c r="H156" s="59" t="s">
        <v>61</v>
      </c>
      <c r="I156" s="61">
        <v>0.11825231481481481</v>
      </c>
      <c r="J156">
        <v>51</v>
      </c>
      <c r="L156" t="s">
        <v>88</v>
      </c>
      <c r="M156" s="44" t="s">
        <v>56</v>
      </c>
    </row>
    <row r="157" spans="7:26" x14ac:dyDescent="0.25">
      <c r="G157" s="50">
        <v>45275</v>
      </c>
      <c r="H157" s="63" t="s">
        <v>9</v>
      </c>
      <c r="I157" s="62">
        <v>0.49625000000000002</v>
      </c>
      <c r="J157" s="51"/>
      <c r="K157" s="51">
        <v>10000</v>
      </c>
      <c r="L157" s="51">
        <v>10376</v>
      </c>
      <c r="M157" s="52">
        <v>58909501140300</v>
      </c>
      <c r="N157" s="51" t="s">
        <v>119</v>
      </c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</row>
    <row r="158" spans="7:26" x14ac:dyDescent="0.25">
      <c r="G158" s="48">
        <v>45275</v>
      </c>
      <c r="H158" s="59" t="s">
        <v>9</v>
      </c>
      <c r="I158" s="61">
        <v>0.49652777777777773</v>
      </c>
      <c r="K158">
        <v>10000</v>
      </c>
      <c r="L158">
        <v>20376</v>
      </c>
      <c r="M158" s="44">
        <v>58909501140300</v>
      </c>
      <c r="N158" t="s">
        <v>119</v>
      </c>
    </row>
    <row r="159" spans="7:26" x14ac:dyDescent="0.25">
      <c r="G159" s="50">
        <v>45275</v>
      </c>
      <c r="H159" s="63" t="s">
        <v>9</v>
      </c>
      <c r="I159" s="62">
        <v>0.4967361111111111</v>
      </c>
      <c r="J159" s="51"/>
      <c r="K159" s="51">
        <v>10000</v>
      </c>
      <c r="L159" s="51">
        <v>30376</v>
      </c>
      <c r="M159" s="52">
        <v>58909501140300</v>
      </c>
      <c r="N159" s="51" t="s">
        <v>119</v>
      </c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</row>
    <row r="160" spans="7:26" x14ac:dyDescent="0.25">
      <c r="G160" s="48">
        <v>45275</v>
      </c>
      <c r="H160" s="59" t="s">
        <v>11</v>
      </c>
      <c r="I160" s="61">
        <v>0.49718749999999995</v>
      </c>
      <c r="J160">
        <v>8000</v>
      </c>
      <c r="L160">
        <v>22376</v>
      </c>
      <c r="M160" s="44" t="s">
        <v>76</v>
      </c>
      <c r="N160" t="s">
        <v>12</v>
      </c>
    </row>
    <row r="161" spans="7:26" x14ac:dyDescent="0.25">
      <c r="G161" s="50">
        <v>45275</v>
      </c>
      <c r="H161" s="63" t="s">
        <v>10</v>
      </c>
      <c r="I161" s="62">
        <v>0.551875</v>
      </c>
      <c r="J161" s="51">
        <v>1300</v>
      </c>
      <c r="K161" s="51"/>
      <c r="L161" s="51">
        <v>21076</v>
      </c>
      <c r="M161" s="52">
        <v>245540024547</v>
      </c>
      <c r="N161" s="51">
        <v>245540024547</v>
      </c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</row>
    <row r="162" spans="7:26" x14ac:dyDescent="0.25">
      <c r="G162" s="48">
        <v>45275</v>
      </c>
      <c r="H162" s="59" t="s">
        <v>10</v>
      </c>
      <c r="I162" s="61">
        <v>0.57190972222222225</v>
      </c>
      <c r="J162">
        <v>1751</v>
      </c>
      <c r="L162">
        <v>19325</v>
      </c>
      <c r="M162" s="44">
        <v>901564954940</v>
      </c>
      <c r="N162">
        <v>901564954940</v>
      </c>
    </row>
    <row r="163" spans="7:26" x14ac:dyDescent="0.25">
      <c r="G163" s="50">
        <v>45275</v>
      </c>
      <c r="H163" s="63" t="s">
        <v>10</v>
      </c>
      <c r="I163" s="62">
        <v>0.57966435185185183</v>
      </c>
      <c r="J163" s="51">
        <v>3401</v>
      </c>
      <c r="K163" s="51"/>
      <c r="L163" s="51">
        <v>15924</v>
      </c>
      <c r="M163" s="52">
        <v>2049630293</v>
      </c>
      <c r="N163" s="51">
        <v>2049630293</v>
      </c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</row>
    <row r="164" spans="7:26" x14ac:dyDescent="0.25">
      <c r="G164" s="48">
        <v>45275</v>
      </c>
      <c r="H164" s="59" t="s">
        <v>9</v>
      </c>
      <c r="I164" s="61">
        <v>0.58016203703703706</v>
      </c>
      <c r="J164">
        <v>4000</v>
      </c>
      <c r="L164">
        <v>11924</v>
      </c>
      <c r="M164" s="44">
        <v>15976723768</v>
      </c>
      <c r="N164">
        <v>15976723768</v>
      </c>
    </row>
    <row r="165" spans="7:26" x14ac:dyDescent="0.25">
      <c r="G165" s="50">
        <v>45275</v>
      </c>
      <c r="H165" s="63" t="s">
        <v>9</v>
      </c>
      <c r="I165" s="62">
        <v>0.58067129629629632</v>
      </c>
      <c r="J165" s="51"/>
      <c r="K165" s="51">
        <v>150</v>
      </c>
      <c r="L165" s="51">
        <v>12074</v>
      </c>
      <c r="M165" s="52">
        <v>15976723768</v>
      </c>
      <c r="N165" s="51" t="s">
        <v>119</v>
      </c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</row>
    <row r="166" spans="7:26" x14ac:dyDescent="0.25">
      <c r="G166" s="48">
        <v>45275</v>
      </c>
      <c r="H166" s="59" t="s">
        <v>9</v>
      </c>
      <c r="I166" s="61">
        <v>0.58557870370370368</v>
      </c>
      <c r="K166">
        <v>50</v>
      </c>
      <c r="L166">
        <v>12124</v>
      </c>
      <c r="M166" s="44">
        <v>20201800227774</v>
      </c>
      <c r="N166" t="s">
        <v>119</v>
      </c>
    </row>
    <row r="167" spans="7:26" x14ac:dyDescent="0.25">
      <c r="G167" s="50">
        <v>45275</v>
      </c>
      <c r="H167" s="63" t="s">
        <v>9</v>
      </c>
      <c r="I167" s="62">
        <v>0.58682870370370377</v>
      </c>
      <c r="J167" s="51"/>
      <c r="K167" s="51">
        <v>10</v>
      </c>
      <c r="L167" s="51">
        <v>12134</v>
      </c>
      <c r="M167" s="52">
        <v>15976723768</v>
      </c>
      <c r="N167" s="51" t="s">
        <v>119</v>
      </c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</row>
    <row r="168" spans="7:26" s="37" customFormat="1" x14ac:dyDescent="0.25">
      <c r="G168" s="49">
        <v>45275</v>
      </c>
      <c r="H168" s="64" t="s">
        <v>11</v>
      </c>
      <c r="I168" s="65">
        <v>0.58770833333333339</v>
      </c>
      <c r="J168" s="37">
        <v>11700</v>
      </c>
      <c r="L168" s="37">
        <v>434</v>
      </c>
      <c r="M168" s="45" t="s">
        <v>77</v>
      </c>
      <c r="N168" s="37" t="s">
        <v>12</v>
      </c>
    </row>
    <row r="169" spans="7:26" x14ac:dyDescent="0.25">
      <c r="G169" s="50">
        <v>45276</v>
      </c>
      <c r="H169" s="63" t="s">
        <v>9</v>
      </c>
      <c r="I169" s="62">
        <v>0.44224537037037037</v>
      </c>
      <c r="J169" s="51"/>
      <c r="K169" s="51">
        <v>1200</v>
      </c>
      <c r="L169" s="51">
        <v>1634</v>
      </c>
      <c r="M169" s="52">
        <v>58909501140300</v>
      </c>
      <c r="N169" s="51" t="s">
        <v>119</v>
      </c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</row>
    <row r="170" spans="7:26" x14ac:dyDescent="0.25">
      <c r="G170" s="48">
        <v>45276</v>
      </c>
      <c r="H170" s="59" t="s">
        <v>11</v>
      </c>
      <c r="I170" s="61">
        <v>0.44482638888888887</v>
      </c>
      <c r="K170">
        <v>4000</v>
      </c>
      <c r="L170">
        <v>5634</v>
      </c>
      <c r="M170" s="44">
        <v>901562057959</v>
      </c>
      <c r="N170" t="s">
        <v>119</v>
      </c>
    </row>
    <row r="171" spans="7:26" x14ac:dyDescent="0.25">
      <c r="G171" s="50">
        <v>45276</v>
      </c>
      <c r="H171" s="63" t="s">
        <v>10</v>
      </c>
      <c r="I171" s="62">
        <v>0.4484143518518518</v>
      </c>
      <c r="J171" s="51">
        <v>4400</v>
      </c>
      <c r="K171" s="51"/>
      <c r="L171" s="51">
        <v>1234</v>
      </c>
      <c r="M171" s="52">
        <v>48001144927</v>
      </c>
      <c r="N171" s="51">
        <v>4812125671756</v>
      </c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</row>
    <row r="172" spans="7:26" x14ac:dyDescent="0.25">
      <c r="G172" s="48">
        <v>45277</v>
      </c>
      <c r="H172" s="59" t="s">
        <v>10</v>
      </c>
      <c r="I172" s="61">
        <v>2.3634259259259258E-2</v>
      </c>
      <c r="K172">
        <v>1980</v>
      </c>
      <c r="L172">
        <v>3214</v>
      </c>
      <c r="M172" s="44">
        <v>901563956897</v>
      </c>
      <c r="N172" t="s">
        <v>132</v>
      </c>
    </row>
    <row r="173" spans="7:26" x14ac:dyDescent="0.25">
      <c r="G173" s="50">
        <v>45277</v>
      </c>
      <c r="H173" s="63" t="s">
        <v>9</v>
      </c>
      <c r="I173" s="62">
        <v>0.89208333333333334</v>
      </c>
      <c r="J173" s="51">
        <v>2000</v>
      </c>
      <c r="K173" s="51"/>
      <c r="L173" s="51">
        <v>1199</v>
      </c>
      <c r="M173" s="52">
        <v>40268113163</v>
      </c>
      <c r="N173" s="51">
        <v>40268113163</v>
      </c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TextBox4">
          <controlPr defaultSize="0" autoLine="0" autoPict="0" linkedCell="主頁面!Z17" r:id="rId5">
            <anchor moveWithCells="1">
              <from>
                <xdr:col>17</xdr:col>
                <xdr:colOff>9525</xdr:colOff>
                <xdr:row>1</xdr:row>
                <xdr:rowOff>66675</xdr:rowOff>
              </from>
              <to>
                <xdr:col>20</xdr:col>
                <xdr:colOff>628650</xdr:colOff>
                <xdr:row>6</xdr:row>
                <xdr:rowOff>200025</xdr:rowOff>
              </to>
            </anchor>
          </controlPr>
        </control>
      </mc:Choice>
      <mc:Fallback>
        <control shapeId="3081" r:id="rId4" name="TextBox4"/>
      </mc:Fallback>
    </mc:AlternateContent>
    <mc:AlternateContent xmlns:mc="http://schemas.openxmlformats.org/markup-compatibility/2006">
      <mc:Choice Requires="x14">
        <control shapeId="3080" r:id="rId6" name="TextBox3">
          <controlPr defaultSize="0" autoLine="0" autoPict="0" linkedCell="主頁面!Z15" r:id="rId7">
            <anchor moveWithCells="1">
              <from>
                <xdr:col>13</xdr:col>
                <xdr:colOff>914400</xdr:colOff>
                <xdr:row>1</xdr:row>
                <xdr:rowOff>57150</xdr:rowOff>
              </from>
              <to>
                <xdr:col>16</xdr:col>
                <xdr:colOff>647700</xdr:colOff>
                <xdr:row>6</xdr:row>
                <xdr:rowOff>200025</xdr:rowOff>
              </to>
            </anchor>
          </controlPr>
        </control>
      </mc:Choice>
      <mc:Fallback>
        <control shapeId="3080" r:id="rId6" name="TextBox3"/>
      </mc:Fallback>
    </mc:AlternateContent>
    <mc:AlternateContent xmlns:mc="http://schemas.openxmlformats.org/markup-compatibility/2006">
      <mc:Choice Requires="x14">
        <control shapeId="3079" r:id="rId8" name="TextBox1">
          <controlPr defaultSize="0" autoLine="0" autoPict="0" linkedCell="主頁面!Z7" r:id="rId9">
            <anchor moveWithCells="1">
              <from>
                <xdr:col>8</xdr:col>
                <xdr:colOff>704850</xdr:colOff>
                <xdr:row>1</xdr:row>
                <xdr:rowOff>76200</xdr:rowOff>
              </from>
              <to>
                <xdr:col>11</xdr:col>
                <xdr:colOff>1104900</xdr:colOff>
                <xdr:row>7</xdr:row>
                <xdr:rowOff>9525</xdr:rowOff>
              </to>
            </anchor>
          </controlPr>
        </control>
      </mc:Choice>
      <mc:Fallback>
        <control shapeId="3079" r:id="rId8" name="TextBox1"/>
      </mc:Fallback>
    </mc:AlternateContent>
    <mc:AlternateContent xmlns:mc="http://schemas.openxmlformats.org/markup-compatibility/2006">
      <mc:Choice Requires="x14">
        <control shapeId="3078" r:id="rId10" name="TextBox2">
          <controlPr defaultSize="0" autoLine="0" autoPict="0" linkedCell="主頁面!Z12" r:id="rId11">
            <anchor moveWithCells="1">
              <from>
                <xdr:col>11</xdr:col>
                <xdr:colOff>1143000</xdr:colOff>
                <xdr:row>1</xdr:row>
                <xdr:rowOff>57150</xdr:rowOff>
              </from>
              <to>
                <xdr:col>13</xdr:col>
                <xdr:colOff>876300</xdr:colOff>
                <xdr:row>7</xdr:row>
                <xdr:rowOff>0</xdr:rowOff>
              </to>
            </anchor>
          </controlPr>
        </control>
      </mc:Choice>
      <mc:Fallback>
        <control shapeId="3078" r:id="rId10" name="TextBox2"/>
      </mc:Fallback>
    </mc:AlternateContent>
    <mc:AlternateContent xmlns:mc="http://schemas.openxmlformats.org/markup-compatibility/2006">
      <mc:Choice Requires="x14">
        <control shapeId="3076" r:id="rId12" name="TextBox_SeeWhy">
          <controlPr defaultSize="0" autoLine="0" autoPict="0" linkedCell="主頁面!Z3" r:id="rId13">
            <anchor moveWithCells="1">
              <from>
                <xdr:col>5</xdr:col>
                <xdr:colOff>123825</xdr:colOff>
                <xdr:row>1</xdr:row>
                <xdr:rowOff>66675</xdr:rowOff>
              </from>
              <to>
                <xdr:col>8</xdr:col>
                <xdr:colOff>657225</xdr:colOff>
                <xdr:row>7</xdr:row>
                <xdr:rowOff>0</xdr:rowOff>
              </to>
            </anchor>
          </controlPr>
        </control>
      </mc:Choice>
      <mc:Fallback>
        <control shapeId="3076" r:id="rId12" name="TextBox_SeeWhy"/>
      </mc:Fallback>
    </mc:AlternateContent>
    <mc:AlternateContent xmlns:mc="http://schemas.openxmlformats.org/markup-compatibility/2006">
      <mc:Choice Requires="x14">
        <control shapeId="3082" r:id="rId14" name="Label1">
          <controlPr defaultSize="0" autoLine="0" autoPict="0" r:id="rId15">
            <anchor moveWithCells="1">
              <from>
                <xdr:col>5</xdr:col>
                <xdr:colOff>180975</xdr:colOff>
                <xdr:row>0</xdr:row>
                <xdr:rowOff>57150</xdr:rowOff>
              </from>
              <to>
                <xdr:col>8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3082" r:id="rId14" name="Label1"/>
      </mc:Fallback>
    </mc:AlternateContent>
    <mc:AlternateContent xmlns:mc="http://schemas.openxmlformats.org/markup-compatibility/2006">
      <mc:Choice Requires="x14">
        <control shapeId="3083" r:id="rId16" name="Label2">
          <controlPr defaultSize="0" autoLine="0" autoPict="0" r:id="rId17">
            <anchor moveWithCells="1">
              <from>
                <xdr:col>8</xdr:col>
                <xdr:colOff>828675</xdr:colOff>
                <xdr:row>0</xdr:row>
                <xdr:rowOff>57150</xdr:rowOff>
              </from>
              <to>
                <xdr:col>11</xdr:col>
                <xdr:colOff>1190625</xdr:colOff>
                <xdr:row>1</xdr:row>
                <xdr:rowOff>28575</xdr:rowOff>
              </to>
            </anchor>
          </controlPr>
        </control>
      </mc:Choice>
      <mc:Fallback>
        <control shapeId="3083" r:id="rId16" name="Label2"/>
      </mc:Fallback>
    </mc:AlternateContent>
    <mc:AlternateContent xmlns:mc="http://schemas.openxmlformats.org/markup-compatibility/2006">
      <mc:Choice Requires="x14">
        <control shapeId="3084" r:id="rId18" name="Label3">
          <controlPr defaultSize="0" autoLine="0" autoPict="0" r:id="rId19">
            <anchor moveWithCells="1">
              <from>
                <xdr:col>11</xdr:col>
                <xdr:colOff>1123950</xdr:colOff>
                <xdr:row>0</xdr:row>
                <xdr:rowOff>57150</xdr:rowOff>
              </from>
              <to>
                <xdr:col>13</xdr:col>
                <xdr:colOff>828675</xdr:colOff>
                <xdr:row>1</xdr:row>
                <xdr:rowOff>28575</xdr:rowOff>
              </to>
            </anchor>
          </controlPr>
        </control>
      </mc:Choice>
      <mc:Fallback>
        <control shapeId="3084" r:id="rId18" name="Label3"/>
      </mc:Fallback>
    </mc:AlternateContent>
    <mc:AlternateContent xmlns:mc="http://schemas.openxmlformats.org/markup-compatibility/2006">
      <mc:Choice Requires="x14">
        <control shapeId="3085" r:id="rId20" name="Label4">
          <controlPr defaultSize="0" autoLine="0" autoPict="0" r:id="rId21">
            <anchor moveWithCells="1">
              <from>
                <xdr:col>13</xdr:col>
                <xdr:colOff>923925</xdr:colOff>
                <xdr:row>0</xdr:row>
                <xdr:rowOff>66675</xdr:rowOff>
              </from>
              <to>
                <xdr:col>16</xdr:col>
                <xdr:colOff>628650</xdr:colOff>
                <xdr:row>1</xdr:row>
                <xdr:rowOff>38100</xdr:rowOff>
              </to>
            </anchor>
          </controlPr>
        </control>
      </mc:Choice>
      <mc:Fallback>
        <control shapeId="3085" r:id="rId20" name="Label4"/>
      </mc:Fallback>
    </mc:AlternateContent>
    <mc:AlternateContent xmlns:mc="http://schemas.openxmlformats.org/markup-compatibility/2006">
      <mc:Choice Requires="x14">
        <control shapeId="3086" r:id="rId22" name="Label5">
          <controlPr defaultSize="0" autoLine="0" autoPict="0" r:id="rId23">
            <anchor moveWithCells="1">
              <from>
                <xdr:col>17</xdr:col>
                <xdr:colOff>76200</xdr:colOff>
                <xdr:row>0</xdr:row>
                <xdr:rowOff>57150</xdr:rowOff>
              </from>
              <to>
                <xdr:col>20</xdr:col>
                <xdr:colOff>657225</xdr:colOff>
                <xdr:row>1</xdr:row>
                <xdr:rowOff>28575</xdr:rowOff>
              </to>
            </anchor>
          </controlPr>
        </control>
      </mc:Choice>
      <mc:Fallback>
        <control shapeId="3086" r:id="rId22" name="Label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A39"/>
  <sheetViews>
    <sheetView topLeftCell="A23" workbookViewId="0">
      <selection activeCell="H5" sqref="H5"/>
    </sheetView>
  </sheetViews>
  <sheetFormatPr defaultRowHeight="16.5" x14ac:dyDescent="0.25"/>
  <cols>
    <col min="1" max="1" width="11.5" customWidth="1"/>
  </cols>
  <sheetData>
    <row r="1" spans="1:4" s="34" customFormat="1" x14ac:dyDescent="0.25"/>
    <row r="2" spans="1:4" s="34" customFormat="1" x14ac:dyDescent="0.25"/>
    <row r="3" spans="1:4" s="34" customFormat="1" x14ac:dyDescent="0.25"/>
    <row r="4" spans="1:4" s="34" customFormat="1" x14ac:dyDescent="0.25">
      <c r="A4" s="34" t="s">
        <v>54</v>
      </c>
      <c r="B4" s="34" t="s">
        <v>55</v>
      </c>
      <c r="C4" s="34" t="s">
        <v>79</v>
      </c>
      <c r="D4" s="34" t="s">
        <v>80</v>
      </c>
    </row>
    <row r="5" spans="1:4" s="34" customFormat="1" x14ac:dyDescent="0.25">
      <c r="A5" s="34">
        <v>39</v>
      </c>
      <c r="B5" s="34">
        <v>57</v>
      </c>
      <c r="C5" s="34">
        <v>39</v>
      </c>
      <c r="D5" s="34">
        <v>30</v>
      </c>
    </row>
    <row r="6" spans="1:4" s="34" customFormat="1" x14ac:dyDescent="0.25"/>
    <row r="7" spans="1:4" s="34" customFormat="1" x14ac:dyDescent="0.25">
      <c r="A7" s="34" t="s">
        <v>54</v>
      </c>
      <c r="B7" s="34" t="s">
        <v>55</v>
      </c>
      <c r="C7" s="34" t="s">
        <v>79</v>
      </c>
      <c r="D7" s="34" t="s">
        <v>80</v>
      </c>
    </row>
    <row r="8" spans="1:4" x14ac:dyDescent="0.25">
      <c r="A8">
        <v>17665</v>
      </c>
      <c r="B8">
        <v>124189</v>
      </c>
      <c r="C8">
        <v>42425</v>
      </c>
      <c r="D8">
        <v>42997</v>
      </c>
    </row>
    <row r="19" spans="1:39" x14ac:dyDescent="0.25">
      <c r="A19" t="s">
        <v>63</v>
      </c>
      <c r="B19">
        <v>998</v>
      </c>
    </row>
    <row r="20" spans="1:39" x14ac:dyDescent="0.25">
      <c r="A20">
        <v>75</v>
      </c>
      <c r="B20">
        <v>3</v>
      </c>
    </row>
    <row r="22" spans="1:39" x14ac:dyDescent="0.25">
      <c r="A22" s="29">
        <v>45275</v>
      </c>
    </row>
    <row r="23" spans="1:39" x14ac:dyDescent="0.25">
      <c r="A23">
        <v>6</v>
      </c>
    </row>
    <row r="24" spans="1:39" x14ac:dyDescent="0.25">
      <c r="A24">
        <v>3</v>
      </c>
    </row>
    <row r="25" spans="1:39" x14ac:dyDescent="0.25">
      <c r="A25" t="s">
        <v>82</v>
      </c>
    </row>
    <row r="27" spans="1:39" x14ac:dyDescent="0.25">
      <c r="A27" s="29">
        <v>45187</v>
      </c>
      <c r="B27" s="29">
        <v>45188</v>
      </c>
      <c r="C27" s="29">
        <v>45189</v>
      </c>
      <c r="D27" s="29">
        <v>45190</v>
      </c>
      <c r="E27" s="29">
        <v>45191</v>
      </c>
      <c r="F27" s="29">
        <v>45192</v>
      </c>
      <c r="G27" s="29">
        <v>45193</v>
      </c>
      <c r="H27" s="29">
        <v>45196</v>
      </c>
      <c r="I27" s="29">
        <v>45199</v>
      </c>
      <c r="J27" s="29">
        <v>45200</v>
      </c>
      <c r="K27" s="29">
        <v>45201</v>
      </c>
      <c r="L27" s="29">
        <v>45202</v>
      </c>
      <c r="M27" s="29">
        <v>45204</v>
      </c>
      <c r="N27" s="29">
        <v>45205</v>
      </c>
      <c r="O27" s="29">
        <v>45206</v>
      </c>
      <c r="P27" s="29">
        <v>45212</v>
      </c>
      <c r="Q27" s="29">
        <v>45216</v>
      </c>
      <c r="R27" s="29">
        <v>45217</v>
      </c>
      <c r="S27" s="29">
        <v>45218</v>
      </c>
      <c r="T27" s="29">
        <v>45220</v>
      </c>
      <c r="U27" s="29">
        <v>45227</v>
      </c>
      <c r="V27" s="29">
        <v>45228</v>
      </c>
      <c r="W27" s="29">
        <v>45234</v>
      </c>
      <c r="X27" s="29">
        <v>45238</v>
      </c>
      <c r="Y27" s="29">
        <v>45244</v>
      </c>
      <c r="Z27" s="29">
        <v>45245</v>
      </c>
      <c r="AA27" s="29">
        <v>45246</v>
      </c>
      <c r="AB27" s="29">
        <v>45248</v>
      </c>
      <c r="AC27" s="29">
        <v>45250</v>
      </c>
      <c r="AD27" s="29">
        <v>45251</v>
      </c>
      <c r="AE27" s="29">
        <v>45258</v>
      </c>
      <c r="AF27" s="29">
        <v>45265</v>
      </c>
      <c r="AG27" s="29">
        <v>45267</v>
      </c>
      <c r="AH27" s="29">
        <v>45268</v>
      </c>
      <c r="AI27" s="29">
        <v>45269</v>
      </c>
      <c r="AJ27" s="29">
        <v>45272</v>
      </c>
      <c r="AK27" s="29">
        <v>45275</v>
      </c>
      <c r="AL27" s="29">
        <v>45276</v>
      </c>
      <c r="AM27" s="29">
        <v>45277</v>
      </c>
    </row>
    <row r="28" spans="1:39" x14ac:dyDescent="0.25">
      <c r="A28">
        <v>10640</v>
      </c>
      <c r="B28">
        <v>9620</v>
      </c>
      <c r="C28">
        <v>8736</v>
      </c>
      <c r="D28">
        <v>8736</v>
      </c>
      <c r="E28">
        <v>7673</v>
      </c>
      <c r="F28">
        <v>10673</v>
      </c>
      <c r="G28">
        <v>6173</v>
      </c>
      <c r="H28">
        <v>12159</v>
      </c>
      <c r="I28">
        <v>10758</v>
      </c>
      <c r="J28">
        <v>9758</v>
      </c>
      <c r="K28">
        <v>5818</v>
      </c>
      <c r="L28">
        <v>1460</v>
      </c>
      <c r="M28">
        <v>9536</v>
      </c>
      <c r="N28">
        <v>19356</v>
      </c>
      <c r="O28">
        <v>3126</v>
      </c>
      <c r="P28">
        <v>2088</v>
      </c>
      <c r="Q28">
        <v>9888</v>
      </c>
      <c r="R28">
        <v>4526</v>
      </c>
      <c r="S28">
        <v>2450</v>
      </c>
      <c r="T28">
        <v>644</v>
      </c>
      <c r="U28">
        <v>407</v>
      </c>
      <c r="V28">
        <v>372</v>
      </c>
      <c r="W28">
        <v>3438</v>
      </c>
      <c r="X28">
        <v>655</v>
      </c>
      <c r="Y28">
        <v>20304</v>
      </c>
      <c r="Z28">
        <v>6744</v>
      </c>
      <c r="AA28">
        <v>6344</v>
      </c>
      <c r="AB28">
        <v>1325</v>
      </c>
      <c r="AC28">
        <v>1326</v>
      </c>
      <c r="AD28">
        <v>1326</v>
      </c>
      <c r="AE28">
        <v>610</v>
      </c>
      <c r="AF28">
        <v>721</v>
      </c>
      <c r="AG28">
        <v>1421</v>
      </c>
      <c r="AH28">
        <v>2421</v>
      </c>
      <c r="AI28">
        <v>421</v>
      </c>
      <c r="AJ28">
        <v>776</v>
      </c>
      <c r="AK28">
        <v>434</v>
      </c>
      <c r="AL28">
        <v>1234</v>
      </c>
      <c r="AM28">
        <v>1199</v>
      </c>
    </row>
    <row r="30" spans="1:39" x14ac:dyDescent="0.25">
      <c r="A30" s="29">
        <v>45188</v>
      </c>
      <c r="B30" s="29">
        <v>45202</v>
      </c>
      <c r="C30" s="29">
        <v>45217</v>
      </c>
      <c r="D30" s="29">
        <v>45228</v>
      </c>
    </row>
    <row r="32" spans="1:39" x14ac:dyDescent="0.25">
      <c r="A32">
        <v>1</v>
      </c>
      <c r="B32">
        <v>1</v>
      </c>
      <c r="C32">
        <v>1</v>
      </c>
      <c r="D32">
        <v>1</v>
      </c>
    </row>
    <row r="36" spans="1:53" x14ac:dyDescent="0.25">
      <c r="A36" s="29">
        <v>45187</v>
      </c>
      <c r="B36" s="29">
        <v>45188</v>
      </c>
      <c r="C36" s="29">
        <v>45189</v>
      </c>
      <c r="D36" s="29">
        <v>45190</v>
      </c>
      <c r="E36" s="29">
        <v>45191</v>
      </c>
      <c r="F36" s="29">
        <v>45192</v>
      </c>
      <c r="G36" s="29">
        <v>45193</v>
      </c>
      <c r="H36" s="29">
        <v>45194</v>
      </c>
      <c r="I36" s="29">
        <v>45195</v>
      </c>
      <c r="J36" s="29">
        <v>45196</v>
      </c>
      <c r="K36" s="29">
        <v>45197</v>
      </c>
      <c r="L36" s="29">
        <v>45199</v>
      </c>
      <c r="M36" s="29">
        <v>45200</v>
      </c>
      <c r="N36" s="29">
        <v>45201</v>
      </c>
      <c r="O36" s="29">
        <v>45202</v>
      </c>
      <c r="P36" s="29">
        <v>45204</v>
      </c>
      <c r="Q36" s="29">
        <v>45205</v>
      </c>
      <c r="R36" s="29">
        <v>45206</v>
      </c>
      <c r="S36" s="29">
        <v>45212</v>
      </c>
      <c r="T36" s="29">
        <v>45216</v>
      </c>
      <c r="U36" s="29">
        <v>45217</v>
      </c>
      <c r="V36" s="29">
        <v>45218</v>
      </c>
      <c r="W36" s="29">
        <v>45220</v>
      </c>
      <c r="X36" s="29">
        <v>45223</v>
      </c>
      <c r="Y36" s="29">
        <v>45224</v>
      </c>
      <c r="Z36" s="29">
        <v>45225</v>
      </c>
      <c r="AA36" s="29">
        <v>45227</v>
      </c>
      <c r="AB36" s="29">
        <v>45228</v>
      </c>
      <c r="AC36" s="29">
        <v>45232</v>
      </c>
      <c r="AD36" s="29">
        <v>45233</v>
      </c>
      <c r="AE36" s="29">
        <v>45234</v>
      </c>
      <c r="AF36" s="29">
        <v>45236</v>
      </c>
      <c r="AG36" s="29">
        <v>45238</v>
      </c>
      <c r="AH36" s="29">
        <v>45239</v>
      </c>
      <c r="AI36" s="29">
        <v>45244</v>
      </c>
      <c r="AJ36" s="29">
        <v>45245</v>
      </c>
      <c r="AK36" s="29">
        <v>45246</v>
      </c>
      <c r="AL36" s="29">
        <v>45248</v>
      </c>
      <c r="AM36" s="29">
        <v>45250</v>
      </c>
      <c r="AN36" s="29">
        <v>45251</v>
      </c>
      <c r="AO36" s="29">
        <v>45258</v>
      </c>
      <c r="AP36" s="29">
        <v>45259</v>
      </c>
      <c r="AQ36" s="29">
        <v>45260</v>
      </c>
      <c r="AR36" s="29">
        <v>45265</v>
      </c>
      <c r="AS36" s="29">
        <v>45267</v>
      </c>
      <c r="AT36" s="29">
        <v>45268</v>
      </c>
      <c r="AU36" s="29">
        <v>45269</v>
      </c>
      <c r="AV36" s="29">
        <v>45272</v>
      </c>
      <c r="AW36" s="29">
        <v>45273</v>
      </c>
      <c r="AX36" s="29">
        <v>45274</v>
      </c>
      <c r="AY36" s="29">
        <v>45275</v>
      </c>
      <c r="AZ36" s="29">
        <v>45276</v>
      </c>
      <c r="BA36" s="29">
        <v>45277</v>
      </c>
    </row>
    <row r="37" spans="1:53" x14ac:dyDescent="0.25">
      <c r="A37">
        <v>2500</v>
      </c>
      <c r="B37">
        <v>1020</v>
      </c>
      <c r="C37">
        <v>887</v>
      </c>
      <c r="D37">
        <v>2680</v>
      </c>
      <c r="E37">
        <v>2663</v>
      </c>
      <c r="F37">
        <v>0</v>
      </c>
      <c r="G37">
        <v>4500</v>
      </c>
      <c r="H37">
        <v>127</v>
      </c>
      <c r="I37">
        <v>1595</v>
      </c>
      <c r="J37">
        <v>292</v>
      </c>
      <c r="K37">
        <v>1121</v>
      </c>
      <c r="L37">
        <v>280</v>
      </c>
      <c r="M37">
        <v>1000</v>
      </c>
      <c r="N37">
        <v>33940</v>
      </c>
      <c r="O37">
        <v>4358</v>
      </c>
      <c r="P37">
        <v>844</v>
      </c>
      <c r="Q37">
        <v>7180</v>
      </c>
      <c r="R37">
        <v>16200</v>
      </c>
      <c r="S37">
        <v>29678</v>
      </c>
      <c r="T37">
        <v>2000</v>
      </c>
      <c r="U37">
        <v>24547</v>
      </c>
      <c r="V37">
        <v>2061</v>
      </c>
      <c r="W37">
        <v>1809</v>
      </c>
      <c r="X37">
        <v>107</v>
      </c>
      <c r="Y37">
        <v>45</v>
      </c>
      <c r="Z37">
        <v>385</v>
      </c>
      <c r="AA37">
        <v>0</v>
      </c>
      <c r="AB37">
        <v>35</v>
      </c>
      <c r="AC37">
        <v>20</v>
      </c>
      <c r="AD37">
        <v>114</v>
      </c>
      <c r="AE37">
        <v>5000</v>
      </c>
      <c r="AF37">
        <v>58</v>
      </c>
      <c r="AG37">
        <v>2725</v>
      </c>
      <c r="AH37">
        <v>259</v>
      </c>
      <c r="AI37">
        <v>92</v>
      </c>
      <c r="AJ37">
        <v>23700</v>
      </c>
      <c r="AK37">
        <v>400</v>
      </c>
      <c r="AL37">
        <v>5004</v>
      </c>
      <c r="AM37">
        <v>0</v>
      </c>
      <c r="AN37">
        <v>3880</v>
      </c>
      <c r="AO37">
        <v>716</v>
      </c>
      <c r="AP37">
        <v>356</v>
      </c>
      <c r="AQ37">
        <v>101</v>
      </c>
      <c r="AR37">
        <v>2700</v>
      </c>
      <c r="AS37">
        <v>0</v>
      </c>
      <c r="AT37">
        <v>1000</v>
      </c>
      <c r="AU37">
        <v>2000</v>
      </c>
      <c r="AV37">
        <v>345</v>
      </c>
      <c r="AW37">
        <v>150</v>
      </c>
      <c r="AX37">
        <v>250</v>
      </c>
      <c r="AY37">
        <v>30152</v>
      </c>
      <c r="AZ37">
        <v>4400</v>
      </c>
      <c r="BA37">
        <v>2000</v>
      </c>
    </row>
    <row r="38" spans="1:53" x14ac:dyDescent="0.25">
      <c r="A38">
        <v>0</v>
      </c>
      <c r="B38">
        <v>0</v>
      </c>
      <c r="C38">
        <v>3</v>
      </c>
      <c r="D38">
        <v>2680</v>
      </c>
      <c r="E38">
        <v>11200</v>
      </c>
      <c r="F38">
        <v>3000</v>
      </c>
      <c r="G38">
        <v>0</v>
      </c>
      <c r="H38">
        <v>0</v>
      </c>
      <c r="I38">
        <v>0</v>
      </c>
      <c r="J38">
        <v>48000</v>
      </c>
      <c r="K38">
        <v>0</v>
      </c>
      <c r="L38">
        <v>0</v>
      </c>
      <c r="M38">
        <v>0</v>
      </c>
      <c r="N38">
        <v>50000</v>
      </c>
      <c r="O38">
        <v>0</v>
      </c>
      <c r="P38">
        <v>8920</v>
      </c>
      <c r="Q38">
        <v>17000</v>
      </c>
      <c r="R38">
        <v>0</v>
      </c>
      <c r="S38">
        <v>55920</v>
      </c>
      <c r="T38">
        <v>9800</v>
      </c>
      <c r="U38">
        <v>57600</v>
      </c>
      <c r="V38">
        <v>0</v>
      </c>
      <c r="W38">
        <v>9</v>
      </c>
      <c r="X38">
        <v>0</v>
      </c>
      <c r="Y38">
        <v>0</v>
      </c>
      <c r="Z38">
        <v>0</v>
      </c>
      <c r="AA38">
        <v>300</v>
      </c>
      <c r="AB38">
        <v>0</v>
      </c>
      <c r="AC38">
        <v>0</v>
      </c>
      <c r="AD38">
        <v>0</v>
      </c>
      <c r="AE38">
        <v>13200</v>
      </c>
      <c r="AF38">
        <v>0</v>
      </c>
      <c r="AG38">
        <v>0</v>
      </c>
      <c r="AH38">
        <v>0</v>
      </c>
      <c r="AI38">
        <v>20000</v>
      </c>
      <c r="AJ38">
        <v>17040</v>
      </c>
      <c r="AK38">
        <v>0</v>
      </c>
      <c r="AL38">
        <v>0</v>
      </c>
      <c r="AM38">
        <v>1</v>
      </c>
      <c r="AN38">
        <v>7760</v>
      </c>
      <c r="AO38">
        <v>0</v>
      </c>
      <c r="AP38">
        <v>0</v>
      </c>
      <c r="AQ38">
        <v>0</v>
      </c>
      <c r="AR38">
        <v>5868</v>
      </c>
      <c r="AS38">
        <v>700</v>
      </c>
      <c r="AT38">
        <v>2000</v>
      </c>
      <c r="AU38">
        <v>0</v>
      </c>
      <c r="AV38">
        <v>1400</v>
      </c>
      <c r="AW38">
        <v>0</v>
      </c>
      <c r="AX38">
        <v>0</v>
      </c>
      <c r="AY38">
        <v>80220</v>
      </c>
      <c r="AZ38">
        <v>9200</v>
      </c>
      <c r="BA38">
        <v>3960</v>
      </c>
    </row>
    <row r="39" spans="1:53" x14ac:dyDescent="0.25">
      <c r="A39">
        <v>0</v>
      </c>
      <c r="B39">
        <v>0</v>
      </c>
      <c r="C39">
        <v>294.66666666666669</v>
      </c>
      <c r="D39">
        <v>0</v>
      </c>
      <c r="E39">
        <v>0.7622321428571428</v>
      </c>
      <c r="F39">
        <v>1</v>
      </c>
      <c r="G39">
        <v>0</v>
      </c>
      <c r="H39">
        <v>0</v>
      </c>
      <c r="I39">
        <v>0</v>
      </c>
      <c r="J39">
        <v>0.99391666666666667</v>
      </c>
      <c r="K39">
        <v>0</v>
      </c>
      <c r="L39">
        <v>0</v>
      </c>
      <c r="M39">
        <v>0</v>
      </c>
      <c r="N39">
        <v>0.32119999999999999</v>
      </c>
      <c r="O39">
        <v>0</v>
      </c>
      <c r="P39">
        <v>0.90538116591928253</v>
      </c>
      <c r="Q39">
        <v>0.5776470588235294</v>
      </c>
      <c r="R39">
        <v>0</v>
      </c>
      <c r="S39">
        <v>0.46927753934191702</v>
      </c>
      <c r="T39">
        <v>0.79591836734693877</v>
      </c>
      <c r="U39">
        <v>0.57383680555555561</v>
      </c>
      <c r="V39">
        <v>0</v>
      </c>
      <c r="W39">
        <v>200</v>
      </c>
      <c r="X39">
        <v>0</v>
      </c>
      <c r="Y39">
        <v>0</v>
      </c>
      <c r="Z39">
        <v>0</v>
      </c>
      <c r="AA39">
        <v>1</v>
      </c>
      <c r="AB39">
        <v>0</v>
      </c>
      <c r="AC39">
        <v>0</v>
      </c>
      <c r="AD39">
        <v>0</v>
      </c>
      <c r="AE39">
        <v>0.62121212121212122</v>
      </c>
      <c r="AF39">
        <v>0</v>
      </c>
      <c r="AG39">
        <v>0</v>
      </c>
      <c r="AH39">
        <v>0</v>
      </c>
      <c r="AI39">
        <v>0.99539999999999995</v>
      </c>
      <c r="AJ39">
        <v>0.39084507042253519</v>
      </c>
      <c r="AK39">
        <v>0</v>
      </c>
      <c r="AL39">
        <v>0</v>
      </c>
      <c r="AM39">
        <v>1</v>
      </c>
      <c r="AN39">
        <v>0.5</v>
      </c>
      <c r="AO39">
        <v>0</v>
      </c>
      <c r="AP39">
        <v>0</v>
      </c>
      <c r="AQ39">
        <v>0</v>
      </c>
      <c r="AR39">
        <v>0.53987730061349692</v>
      </c>
      <c r="AS39">
        <v>1</v>
      </c>
      <c r="AT39">
        <v>0.5</v>
      </c>
      <c r="AU39">
        <v>0</v>
      </c>
      <c r="AV39">
        <v>0.75357142857142856</v>
      </c>
      <c r="AW39">
        <v>0</v>
      </c>
      <c r="AX39">
        <v>0</v>
      </c>
      <c r="AY39">
        <v>0.62413363251059584</v>
      </c>
      <c r="AZ39">
        <v>0.52173913043478259</v>
      </c>
      <c r="BA39">
        <v>0.49494949494949497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19"/>
      <c r="B3" s="20"/>
      <c r="C3" s="21"/>
    </row>
    <row r="4" spans="1:3" x14ac:dyDescent="0.25">
      <c r="A4" s="22"/>
      <c r="B4" s="23"/>
      <c r="C4" s="24"/>
    </row>
    <row r="5" spans="1:3" x14ac:dyDescent="0.25">
      <c r="A5" s="22"/>
      <c r="B5" s="23"/>
      <c r="C5" s="24"/>
    </row>
    <row r="6" spans="1:3" x14ac:dyDescent="0.25">
      <c r="A6" s="22"/>
      <c r="B6" s="23"/>
      <c r="C6" s="24"/>
    </row>
    <row r="7" spans="1:3" x14ac:dyDescent="0.25">
      <c r="A7" s="22"/>
      <c r="B7" s="23"/>
      <c r="C7" s="24"/>
    </row>
    <row r="8" spans="1:3" x14ac:dyDescent="0.25">
      <c r="A8" s="22"/>
      <c r="B8" s="23"/>
      <c r="C8" s="24"/>
    </row>
    <row r="9" spans="1:3" x14ac:dyDescent="0.25">
      <c r="A9" s="22"/>
      <c r="B9" s="23"/>
      <c r="C9" s="24"/>
    </row>
    <row r="10" spans="1:3" x14ac:dyDescent="0.25">
      <c r="A10" s="22"/>
      <c r="B10" s="23"/>
      <c r="C10" s="24"/>
    </row>
    <row r="11" spans="1:3" x14ac:dyDescent="0.25">
      <c r="A11" s="22"/>
      <c r="B11" s="23"/>
      <c r="C11" s="24"/>
    </row>
    <row r="12" spans="1:3" x14ac:dyDescent="0.25">
      <c r="A12" s="22"/>
      <c r="B12" s="23"/>
      <c r="C12" s="24"/>
    </row>
    <row r="13" spans="1:3" x14ac:dyDescent="0.25">
      <c r="A13" s="22"/>
      <c r="B13" s="23"/>
      <c r="C13" s="24"/>
    </row>
    <row r="14" spans="1:3" x14ac:dyDescent="0.25">
      <c r="A14" s="22"/>
      <c r="B14" s="23"/>
      <c r="C14" s="24"/>
    </row>
    <row r="15" spans="1:3" x14ac:dyDescent="0.25">
      <c r="A15" s="22"/>
      <c r="B15" s="23"/>
      <c r="C15" s="24"/>
    </row>
    <row r="16" spans="1:3" x14ac:dyDescent="0.25">
      <c r="A16" s="22"/>
      <c r="B16" s="23"/>
      <c r="C16" s="24"/>
    </row>
    <row r="17" spans="1:3" x14ac:dyDescent="0.25">
      <c r="A17" s="22"/>
      <c r="B17" s="23"/>
      <c r="C17" s="24"/>
    </row>
    <row r="18" spans="1:3" x14ac:dyDescent="0.25">
      <c r="A18" s="22"/>
      <c r="B18" s="23"/>
      <c r="C18" s="24"/>
    </row>
    <row r="19" spans="1:3" x14ac:dyDescent="0.25">
      <c r="A19" s="22"/>
      <c r="B19" s="23"/>
      <c r="C19" s="24"/>
    </row>
    <row r="20" spans="1:3" x14ac:dyDescent="0.25">
      <c r="A20" s="25"/>
      <c r="B20" s="26"/>
      <c r="C20" s="27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主頁面</vt:lpstr>
      <vt:lpstr>交易簡化版</vt:lpstr>
      <vt:lpstr>暫存區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2024-01-19T02:27:51Z</dcterms:modified>
</cp:coreProperties>
</file>